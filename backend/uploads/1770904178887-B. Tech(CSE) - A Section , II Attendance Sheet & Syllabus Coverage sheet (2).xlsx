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xr:revisionPtr revIDLastSave="0" documentId="8_{61DF0C31-3090-4142-8B88-EE40C41A390E}" xr6:coauthVersionLast="47" xr6:coauthVersionMax="47" xr10:uidLastSave="{00000000-0000-0000-0000-000000000000}"/>
  <bookViews>
    <workbookView xWindow="360" yWindow="495" windowWidth="23340" windowHeight="9405" activeTab="2" xr2:uid="{00000000-000D-0000-FFFF-FFFF00000000}"/>
  </bookViews>
  <sheets>
    <sheet name="Feb 2025" sheetId="1" r:id="rId1"/>
    <sheet name="March 2025" sheetId="2" r:id="rId2"/>
    <sheet name="April 2025" sheetId="3" r:id="rId3"/>
    <sheet name="Sheet1" sheetId="6" r:id="rId4"/>
    <sheet name="assessment &amp; attendance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L65" i="3"/>
  <c r="M65" i="3"/>
  <c r="L64" i="3"/>
  <c r="M64" i="3"/>
  <c r="L64" i="2"/>
  <c r="K64" i="1"/>
  <c r="N64" i="3"/>
  <c r="O64" i="3"/>
  <c r="L63" i="3"/>
  <c r="M63" i="3"/>
  <c r="L63" i="2"/>
  <c r="K63" i="1"/>
  <c r="N63" i="3"/>
  <c r="O63" i="3"/>
  <c r="L62" i="3"/>
  <c r="M62" i="3"/>
  <c r="L61" i="3"/>
  <c r="M61" i="3"/>
  <c r="L61" i="2"/>
  <c r="K61" i="1"/>
  <c r="N61" i="3"/>
  <c r="O61" i="3"/>
  <c r="L60" i="3"/>
  <c r="M60" i="3"/>
  <c r="L60" i="2"/>
  <c r="K60" i="1"/>
  <c r="N60" i="3"/>
  <c r="O60" i="3"/>
  <c r="L59" i="3"/>
  <c r="M59" i="3"/>
  <c r="L58" i="3"/>
  <c r="M58" i="3"/>
  <c r="L58" i="2"/>
  <c r="K58" i="1"/>
  <c r="N58" i="3"/>
  <c r="O58" i="3"/>
  <c r="L57" i="3"/>
  <c r="M57" i="3"/>
  <c r="L57" i="2"/>
  <c r="K57" i="1"/>
  <c r="N57" i="3"/>
  <c r="O57" i="3"/>
  <c r="L56" i="3"/>
  <c r="M56" i="3"/>
  <c r="L55" i="3"/>
  <c r="M55" i="3"/>
  <c r="L55" i="2"/>
  <c r="K55" i="1"/>
  <c r="N55" i="3"/>
  <c r="O55" i="3"/>
  <c r="L54" i="3"/>
  <c r="M54" i="3"/>
  <c r="L54" i="2"/>
  <c r="K54" i="1"/>
  <c r="N54" i="3"/>
  <c r="O54" i="3"/>
  <c r="L53" i="3"/>
  <c r="M53" i="3"/>
  <c r="L52" i="3"/>
  <c r="M52" i="3"/>
  <c r="L52" i="2"/>
  <c r="K52" i="1"/>
  <c r="N52" i="3"/>
  <c r="O52" i="3"/>
  <c r="L51" i="3"/>
  <c r="M51" i="3"/>
  <c r="L51" i="2"/>
  <c r="K51" i="1"/>
  <c r="N51" i="3"/>
  <c r="O51" i="3"/>
  <c r="L50" i="3"/>
  <c r="M50" i="3"/>
  <c r="L49" i="3"/>
  <c r="M49" i="3"/>
  <c r="L49" i="2"/>
  <c r="K49" i="1"/>
  <c r="N49" i="3"/>
  <c r="O49" i="3"/>
  <c r="L48" i="3"/>
  <c r="M48" i="3"/>
  <c r="L48" i="2"/>
  <c r="K48" i="1"/>
  <c r="N48" i="3"/>
  <c r="O48" i="3"/>
  <c r="L47" i="3"/>
  <c r="M47" i="3"/>
  <c r="L46" i="3"/>
  <c r="M46" i="3"/>
  <c r="L46" i="2"/>
  <c r="K46" i="1"/>
  <c r="N46" i="3"/>
  <c r="O46" i="3"/>
  <c r="L45" i="3"/>
  <c r="M45" i="3"/>
  <c r="L45" i="2"/>
  <c r="K45" i="1"/>
  <c r="N45" i="3"/>
  <c r="O45" i="3"/>
  <c r="L44" i="3"/>
  <c r="M44" i="3"/>
  <c r="L43" i="3"/>
  <c r="M43" i="3"/>
  <c r="L43" i="2"/>
  <c r="K43" i="1"/>
  <c r="N43" i="3"/>
  <c r="O43" i="3"/>
  <c r="L42" i="3"/>
  <c r="M42" i="3"/>
  <c r="L42" i="2"/>
  <c r="K42" i="1"/>
  <c r="N42" i="3"/>
  <c r="O42" i="3"/>
  <c r="L41" i="3"/>
  <c r="M41" i="3"/>
  <c r="L40" i="3"/>
  <c r="M40" i="3"/>
  <c r="L40" i="2"/>
  <c r="K40" i="1"/>
  <c r="N40" i="3"/>
  <c r="O40" i="3"/>
  <c r="L39" i="3"/>
  <c r="M39" i="3"/>
  <c r="L39" i="2"/>
  <c r="K39" i="1"/>
  <c r="N39" i="3"/>
  <c r="O39" i="3"/>
  <c r="L38" i="3"/>
  <c r="M38" i="3"/>
  <c r="L37" i="3"/>
  <c r="M37" i="3"/>
  <c r="L37" i="2"/>
  <c r="K37" i="1"/>
  <c r="N37" i="3"/>
  <c r="O37" i="3"/>
  <c r="L36" i="3"/>
  <c r="M36" i="3"/>
  <c r="L36" i="2"/>
  <c r="K36" i="1"/>
  <c r="N36" i="3"/>
  <c r="O36" i="3"/>
  <c r="L35" i="3"/>
  <c r="M35" i="3"/>
  <c r="L34" i="3"/>
  <c r="M34" i="3"/>
  <c r="L34" i="2"/>
  <c r="K34" i="1"/>
  <c r="N34" i="3"/>
  <c r="O34" i="3"/>
  <c r="L33" i="3"/>
  <c r="M33" i="3"/>
  <c r="L33" i="2"/>
  <c r="K33" i="1"/>
  <c r="N33" i="3"/>
  <c r="O33" i="3"/>
  <c r="L32" i="3"/>
  <c r="M32" i="3"/>
  <c r="L31" i="3"/>
  <c r="M31" i="3"/>
  <c r="L31" i="2"/>
  <c r="K31" i="1"/>
  <c r="N31" i="3"/>
  <c r="O31" i="3"/>
  <c r="L30" i="3"/>
  <c r="M30" i="3"/>
  <c r="L30" i="2"/>
  <c r="K30" i="1"/>
  <c r="N30" i="3"/>
  <c r="O30" i="3"/>
  <c r="L29" i="3"/>
  <c r="M29" i="3"/>
  <c r="L28" i="3"/>
  <c r="M28" i="3"/>
  <c r="L28" i="2"/>
  <c r="K28" i="1"/>
  <c r="N28" i="3"/>
  <c r="O28" i="3"/>
  <c r="L27" i="3"/>
  <c r="M27" i="3"/>
  <c r="L27" i="2"/>
  <c r="K27" i="1"/>
  <c r="N27" i="3"/>
  <c r="O27" i="3"/>
  <c r="L26" i="3"/>
  <c r="M26" i="3"/>
  <c r="L25" i="3"/>
  <c r="M25" i="3"/>
  <c r="L25" i="2"/>
  <c r="K25" i="1"/>
  <c r="N25" i="3"/>
  <c r="O25" i="3"/>
  <c r="L24" i="3"/>
  <c r="M24" i="3"/>
  <c r="L24" i="2"/>
  <c r="K24" i="1"/>
  <c r="N24" i="3"/>
  <c r="O24" i="3"/>
  <c r="L23" i="3"/>
  <c r="M23" i="3"/>
  <c r="L22" i="3"/>
  <c r="M22" i="3"/>
  <c r="L22" i="2"/>
  <c r="K22" i="1"/>
  <c r="N22" i="3"/>
  <c r="O22" i="3"/>
  <c r="L21" i="3"/>
  <c r="M21" i="3"/>
  <c r="L21" i="2"/>
  <c r="K21" i="1"/>
  <c r="N21" i="3"/>
  <c r="O21" i="3"/>
  <c r="L20" i="3"/>
  <c r="M20" i="3"/>
  <c r="L19" i="3"/>
  <c r="M19" i="3"/>
  <c r="L19" i="2"/>
  <c r="K19" i="1"/>
  <c r="N19" i="3"/>
  <c r="O19" i="3"/>
  <c r="L18" i="3"/>
  <c r="M18" i="3"/>
  <c r="L18" i="2"/>
  <c r="K18" i="1"/>
  <c r="N18" i="3"/>
  <c r="O18" i="3"/>
  <c r="L17" i="3"/>
  <c r="M17" i="3"/>
  <c r="L16" i="3"/>
  <c r="M16" i="3"/>
  <c r="L16" i="2"/>
  <c r="K16" i="1"/>
  <c r="N16" i="3"/>
  <c r="O16" i="3"/>
  <c r="L15" i="3"/>
  <c r="M15" i="3"/>
  <c r="L15" i="2"/>
  <c r="K15" i="1"/>
  <c r="N15" i="3"/>
  <c r="O15" i="3"/>
  <c r="L14" i="3"/>
  <c r="M14" i="3"/>
  <c r="L13" i="3"/>
  <c r="M13" i="3"/>
  <c r="L13" i="2"/>
  <c r="K13" i="1"/>
  <c r="N13" i="3"/>
  <c r="O13" i="3"/>
  <c r="L12" i="3"/>
  <c r="M12" i="3"/>
  <c r="L12" i="2"/>
  <c r="K12" i="1"/>
  <c r="N12" i="3"/>
  <c r="O12" i="3"/>
  <c r="L11" i="3"/>
  <c r="M11" i="3"/>
  <c r="L10" i="3"/>
  <c r="M10" i="3"/>
  <c r="L10" i="2"/>
  <c r="K10" i="1"/>
  <c r="N10" i="3"/>
  <c r="O10" i="3"/>
  <c r="L9" i="3"/>
  <c r="M9" i="3"/>
  <c r="L9" i="2"/>
  <c r="K9" i="1"/>
  <c r="N9" i="3"/>
  <c r="O9" i="3"/>
  <c r="L8" i="3"/>
  <c r="L7" i="3"/>
  <c r="L65" i="2"/>
  <c r="K65" i="1"/>
  <c r="N65" i="3"/>
  <c r="O65" i="3"/>
  <c r="N64" i="2"/>
  <c r="N63" i="2"/>
  <c r="L8" i="2"/>
  <c r="M63" i="2"/>
  <c r="L62" i="2"/>
  <c r="K62" i="1"/>
  <c r="N62" i="3"/>
  <c r="O62" i="3"/>
  <c r="N61" i="2"/>
  <c r="N60" i="2"/>
  <c r="M60" i="2"/>
  <c r="L59" i="2"/>
  <c r="M59" i="2"/>
  <c r="N58" i="2"/>
  <c r="N57" i="2"/>
  <c r="M57" i="2"/>
  <c r="L56" i="2"/>
  <c r="M56" i="2"/>
  <c r="N55" i="2"/>
  <c r="K8" i="1"/>
  <c r="N8" i="2"/>
  <c r="O55" i="2"/>
  <c r="N54" i="2"/>
  <c r="M54" i="2"/>
  <c r="L53" i="2"/>
  <c r="M53" i="2"/>
  <c r="N52" i="2"/>
  <c r="O52" i="2"/>
  <c r="N51" i="2"/>
  <c r="O51" i="2"/>
  <c r="M51" i="2"/>
  <c r="L50" i="2"/>
  <c r="K50" i="1"/>
  <c r="N50" i="3"/>
  <c r="O50" i="3"/>
  <c r="N49" i="2"/>
  <c r="N48" i="2"/>
  <c r="O48" i="2"/>
  <c r="M48" i="2"/>
  <c r="L47" i="2"/>
  <c r="K47" i="1"/>
  <c r="N47" i="3"/>
  <c r="O47" i="3"/>
  <c r="N46" i="2"/>
  <c r="N45" i="2"/>
  <c r="M45" i="2"/>
  <c r="L44" i="2"/>
  <c r="K44" i="1"/>
  <c r="N44" i="3"/>
  <c r="O44" i="3"/>
  <c r="N43" i="2"/>
  <c r="N42" i="2"/>
  <c r="M42" i="2"/>
  <c r="L41" i="2"/>
  <c r="K41" i="1"/>
  <c r="N41" i="3"/>
  <c r="O41" i="3"/>
  <c r="N40" i="2"/>
  <c r="N39" i="2"/>
  <c r="M39" i="2"/>
  <c r="L38" i="2"/>
  <c r="K38" i="1"/>
  <c r="N38" i="3"/>
  <c r="O38" i="3"/>
  <c r="N37" i="2"/>
  <c r="O37" i="2"/>
  <c r="N36" i="2"/>
  <c r="M36" i="2"/>
  <c r="L35" i="2"/>
  <c r="K35" i="1"/>
  <c r="N35" i="3"/>
  <c r="O35" i="3"/>
  <c r="N34" i="2"/>
  <c r="O34" i="2"/>
  <c r="N33" i="2"/>
  <c r="O33" i="2"/>
  <c r="M33" i="2"/>
  <c r="L32" i="2"/>
  <c r="K32" i="1"/>
  <c r="N32" i="3"/>
  <c r="O32" i="3"/>
  <c r="N31" i="2"/>
  <c r="N30" i="2"/>
  <c r="O30" i="2"/>
  <c r="M30" i="2"/>
  <c r="L29" i="2"/>
  <c r="K29" i="1"/>
  <c r="N29" i="3"/>
  <c r="O29" i="3"/>
  <c r="N28" i="2"/>
  <c r="N27" i="2"/>
  <c r="M27" i="2"/>
  <c r="L26" i="2"/>
  <c r="K26" i="1"/>
  <c r="N26" i="3"/>
  <c r="O26" i="3"/>
  <c r="N25" i="2"/>
  <c r="N24" i="2"/>
  <c r="M24" i="2"/>
  <c r="L23" i="2"/>
  <c r="K23" i="1"/>
  <c r="N23" i="3"/>
  <c r="O23" i="3"/>
  <c r="N22" i="2"/>
  <c r="N21" i="2"/>
  <c r="M21" i="2"/>
  <c r="L20" i="2"/>
  <c r="K20" i="1"/>
  <c r="N20" i="3"/>
  <c r="O20" i="3"/>
  <c r="N19" i="2"/>
  <c r="O19" i="2"/>
  <c r="N18" i="2"/>
  <c r="M18" i="2"/>
  <c r="L17" i="2"/>
  <c r="K17" i="1"/>
  <c r="N17" i="3"/>
  <c r="O17" i="3"/>
  <c r="N16" i="2"/>
  <c r="O16" i="2"/>
  <c r="N15" i="2"/>
  <c r="O15" i="2"/>
  <c r="M15" i="2"/>
  <c r="L14" i="2"/>
  <c r="K14" i="1"/>
  <c r="N14" i="3"/>
  <c r="O14" i="3"/>
  <c r="N13" i="2"/>
  <c r="N12" i="2"/>
  <c r="M12" i="2"/>
  <c r="O12" i="2"/>
  <c r="L11" i="2"/>
  <c r="K11" i="1"/>
  <c r="N11" i="3"/>
  <c r="O11" i="3"/>
  <c r="N10" i="2"/>
  <c r="N9" i="2"/>
  <c r="M9" i="2"/>
  <c r="L7" i="2"/>
  <c r="K59" i="1"/>
  <c r="K56" i="1"/>
  <c r="K53" i="1"/>
  <c r="L30" i="1"/>
  <c r="L28" i="1"/>
  <c r="L27" i="1"/>
  <c r="L25" i="1"/>
  <c r="L24" i="1"/>
  <c r="L22" i="1"/>
  <c r="L21" i="1"/>
  <c r="L19" i="1"/>
  <c r="L18" i="1"/>
  <c r="L16" i="1"/>
  <c r="L15" i="1"/>
  <c r="L13" i="1"/>
  <c r="L12" i="1"/>
  <c r="L10" i="1"/>
  <c r="L9" i="1"/>
  <c r="L64" i="1"/>
  <c r="K7" i="1"/>
  <c r="O21" i="2"/>
  <c r="O39" i="2"/>
  <c r="O57" i="2"/>
  <c r="O61" i="2"/>
  <c r="O28" i="2"/>
  <c r="O42" i="2"/>
  <c r="O46" i="2"/>
  <c r="O60" i="2"/>
  <c r="O64" i="2"/>
  <c r="O25" i="2"/>
  <c r="O43" i="2"/>
  <c r="O10" i="2"/>
  <c r="O24" i="2"/>
  <c r="O9" i="2"/>
  <c r="O27" i="2"/>
  <c r="O31" i="2"/>
  <c r="O45" i="2"/>
  <c r="O49" i="2"/>
  <c r="O63" i="2"/>
  <c r="O18" i="2"/>
  <c r="O22" i="2"/>
  <c r="O36" i="2"/>
  <c r="O40" i="2"/>
  <c r="O54" i="2"/>
  <c r="O58" i="2"/>
  <c r="N56" i="3"/>
  <c r="O56" i="3"/>
  <c r="M10" i="2"/>
  <c r="M13" i="2"/>
  <c r="O13" i="2"/>
  <c r="M16" i="2"/>
  <c r="M19" i="2"/>
  <c r="M22" i="2"/>
  <c r="M25" i="2"/>
  <c r="M28" i="2"/>
  <c r="M31" i="2"/>
  <c r="M34" i="2"/>
  <c r="M37" i="2"/>
  <c r="M40" i="2"/>
  <c r="M43" i="2"/>
  <c r="M46" i="2"/>
  <c r="M49" i="2"/>
  <c r="M52" i="2"/>
  <c r="M55" i="2"/>
  <c r="M58" i="2"/>
  <c r="M61" i="2"/>
  <c r="M64" i="2"/>
  <c r="L11" i="1"/>
  <c r="L20" i="1"/>
  <c r="L29" i="1"/>
  <c r="L38" i="1"/>
  <c r="L44" i="1"/>
  <c r="L50" i="1"/>
  <c r="L56" i="1"/>
  <c r="L65" i="1"/>
  <c r="N8" i="3"/>
  <c r="N53" i="3"/>
  <c r="O53" i="3"/>
  <c r="L33" i="1"/>
  <c r="L36" i="1"/>
  <c r="L39" i="1"/>
  <c r="L42" i="1"/>
  <c r="L45" i="1"/>
  <c r="L48" i="1"/>
  <c r="L51" i="1"/>
  <c r="L54" i="1"/>
  <c r="L57" i="1"/>
  <c r="L60" i="1"/>
  <c r="L63" i="1"/>
  <c r="N11" i="2"/>
  <c r="O11" i="2"/>
  <c r="N14" i="2"/>
  <c r="N17" i="2"/>
  <c r="O17" i="2"/>
  <c r="N20" i="2"/>
  <c r="O20" i="2"/>
  <c r="N23" i="2"/>
  <c r="O23" i="2"/>
  <c r="N26" i="2"/>
  <c r="O26" i="2"/>
  <c r="N29" i="2"/>
  <c r="O29" i="2"/>
  <c r="N32" i="2"/>
  <c r="O32" i="2"/>
  <c r="N35" i="2"/>
  <c r="O35" i="2"/>
  <c r="N38" i="2"/>
  <c r="O38" i="2"/>
  <c r="N41" i="2"/>
  <c r="O41" i="2"/>
  <c r="N44" i="2"/>
  <c r="O44" i="2"/>
  <c r="N47" i="2"/>
  <c r="O47" i="2"/>
  <c r="N50" i="2"/>
  <c r="O50" i="2"/>
  <c r="N53" i="2"/>
  <c r="O53" i="2"/>
  <c r="N56" i="2"/>
  <c r="O56" i="2"/>
  <c r="N59" i="2"/>
  <c r="O59" i="2"/>
  <c r="N62" i="2"/>
  <c r="O62" i="2"/>
  <c r="N65" i="2"/>
  <c r="O65" i="2"/>
  <c r="N59" i="3"/>
  <c r="O59" i="3"/>
  <c r="M11" i="2"/>
  <c r="M14" i="2"/>
  <c r="O14" i="2"/>
  <c r="M17" i="2"/>
  <c r="M20" i="2"/>
  <c r="M23" i="2"/>
  <c r="M26" i="2"/>
  <c r="M29" i="2"/>
  <c r="M32" i="2"/>
  <c r="M35" i="2"/>
  <c r="M38" i="2"/>
  <c r="M41" i="2"/>
  <c r="M44" i="2"/>
  <c r="M47" i="2"/>
  <c r="M50" i="2"/>
  <c r="M62" i="2"/>
  <c r="M65" i="2"/>
  <c r="L14" i="1"/>
  <c r="L17" i="1"/>
  <c r="L23" i="1"/>
  <c r="L26" i="1"/>
  <c r="L32" i="1"/>
  <c r="L35" i="1"/>
  <c r="L41" i="1"/>
  <c r="L47" i="1"/>
  <c r="L53" i="1"/>
  <c r="L59" i="1"/>
  <c r="L62" i="1"/>
  <c r="L31" i="1"/>
  <c r="L34" i="1"/>
  <c r="L37" i="1"/>
  <c r="L40" i="1"/>
  <c r="L43" i="1"/>
  <c r="L46" i="1"/>
  <c r="L49" i="1"/>
  <c r="L52" i="1"/>
  <c r="L55" i="1"/>
  <c r="L58" i="1"/>
  <c r="L61" i="1"/>
</calcChain>
</file>

<file path=xl/sharedStrings.xml><?xml version="1.0" encoding="utf-8"?>
<sst xmlns="http://schemas.openxmlformats.org/spreadsheetml/2006/main" count="723" uniqueCount="167">
  <si>
    <t>Oriental University, Indore</t>
  </si>
  <si>
    <t>Faculty of Computer Science &amp; Engineering</t>
  </si>
  <si>
    <t>B. Tech(Plain) - A Section , II Semester Attendance:Apr 2025</t>
  </si>
  <si>
    <t>S.No.</t>
  </si>
  <si>
    <t>Enrolment No.</t>
  </si>
  <si>
    <t>Name of Student</t>
  </si>
  <si>
    <t>Engineering Mathematics-II 
ENXX3BS03</t>
  </si>
  <si>
    <t>Fundamentals of Engineering
ENXX3ES02</t>
  </si>
  <si>
    <t xml:space="preserve">Communication Skills-II
ENXX3HS03P
</t>
  </si>
  <si>
    <t>Programming in C
CSXX3CO17</t>
  </si>
  <si>
    <t>Digital Systems
CSXX3ES02</t>
  </si>
  <si>
    <t>Universal Human Values
ENXX3HS04</t>
  </si>
  <si>
    <t>Life Skill Tool Kit
ENXX3SE02</t>
  </si>
  <si>
    <t>Total Class</t>
  </si>
  <si>
    <t>Percentage</t>
  </si>
  <si>
    <t>%</t>
  </si>
  <si>
    <t>2425CS8383</t>
  </si>
  <si>
    <t>Aanchal Pandey</t>
  </si>
  <si>
    <t>243CA0063</t>
  </si>
  <si>
    <t>Aastha Mathankar</t>
  </si>
  <si>
    <t>243CS0118</t>
  </si>
  <si>
    <t>Abhiman Maurya</t>
  </si>
  <si>
    <t>243CS0110</t>
  </si>
  <si>
    <t>Abhishek Patidar</t>
  </si>
  <si>
    <t>243CS0073</t>
  </si>
  <si>
    <t>Aditya Barsena</t>
  </si>
  <si>
    <t>243CSD003</t>
  </si>
  <si>
    <t>Aditya Dev Pandey</t>
  </si>
  <si>
    <t>243CS0053</t>
  </si>
  <si>
    <t>Ankit Dabi</t>
  </si>
  <si>
    <t>243CS0026</t>
  </si>
  <si>
    <t>Arman Chandravanshi</t>
  </si>
  <si>
    <t>243CS0025</t>
  </si>
  <si>
    <t>Ayush Chourey</t>
  </si>
  <si>
    <t>243CS0004</t>
  </si>
  <si>
    <t>Ayush Kumar Sinha</t>
  </si>
  <si>
    <t>243CS0165</t>
  </si>
  <si>
    <t>Bhumika Kale</t>
  </si>
  <si>
    <t>243CS0047</t>
  </si>
  <si>
    <t>Chandani Kose</t>
  </si>
  <si>
    <t>243CS0065</t>
  </si>
  <si>
    <t>Daksh Mandiwal</t>
  </si>
  <si>
    <t>243CS0159</t>
  </si>
  <si>
    <t>Dakshita Shukla</t>
  </si>
  <si>
    <t>243CS0034</t>
  </si>
  <si>
    <t>Dhananjay Vishwakarma</t>
  </si>
  <si>
    <t>243CS0045</t>
  </si>
  <si>
    <t>Gautam Kumar Mishra</t>
  </si>
  <si>
    <t>243CS0018</t>
  </si>
  <si>
    <t>Gouri Rathod</t>
  </si>
  <si>
    <t>243CS0019</t>
  </si>
  <si>
    <t>Gungun Kumari</t>
  </si>
  <si>
    <t>243CA0014</t>
  </si>
  <si>
    <t>Hariom Jadoun</t>
  </si>
  <si>
    <t>243CSA067</t>
  </si>
  <si>
    <t>Hariom Parmar</t>
  </si>
  <si>
    <t>243CS0137</t>
  </si>
  <si>
    <t>Kailash Nandeda</t>
  </si>
  <si>
    <t>243CS0006</t>
  </si>
  <si>
    <t>Kartik Maurya</t>
  </si>
  <si>
    <t>243CS0079</t>
  </si>
  <si>
    <t>Kore Shiva Kumar</t>
  </si>
  <si>
    <t>243CS0116</t>
  </si>
  <si>
    <t>Kunal Kumawat</t>
  </si>
  <si>
    <t>243CS0141</t>
  </si>
  <si>
    <t>Kushagra Purohit</t>
  </si>
  <si>
    <t>243CSA160</t>
  </si>
  <si>
    <t>Lakshay</t>
  </si>
  <si>
    <t>243CS0154</t>
  </si>
  <si>
    <t>Larvia Nankani</t>
  </si>
  <si>
    <t>243CS0105</t>
  </si>
  <si>
    <t>Manish Satpute</t>
  </si>
  <si>
    <t>243CS0069</t>
  </si>
  <si>
    <t>Manoj Chouhan</t>
  </si>
  <si>
    <t>243CS0043</t>
  </si>
  <si>
    <t>Minal Ratnawat</t>
  </si>
  <si>
    <t>243CS0054</t>
  </si>
  <si>
    <t>Mishra Shrayansh Mukesh</t>
  </si>
  <si>
    <t>243CS0075</t>
  </si>
  <si>
    <t>Muskan Pawar</t>
  </si>
  <si>
    <t>243CSE021</t>
  </si>
  <si>
    <t>Narendra</t>
  </si>
  <si>
    <t>243CS0143</t>
  </si>
  <si>
    <t>Neha Rathore</t>
  </si>
  <si>
    <t>242CS0023</t>
  </si>
  <si>
    <t>Nikesh Dangi</t>
  </si>
  <si>
    <t>243CS0085</t>
  </si>
  <si>
    <t>Prasanna Sharma</t>
  </si>
  <si>
    <t>243CPB024</t>
  </si>
  <si>
    <t>Prashi Jhanjariya</t>
  </si>
  <si>
    <t>243CS0153</t>
  </si>
  <si>
    <t>Praveen Pratap Singh Bhadouriya</t>
  </si>
  <si>
    <t>243CSA197</t>
  </si>
  <si>
    <t>Priti Kumari</t>
  </si>
  <si>
    <t>243CS0003</t>
  </si>
  <si>
    <t>Priyanshu Kumar</t>
  </si>
  <si>
    <t>243CS0144</t>
  </si>
  <si>
    <t>Priyanshu Kumar Singh</t>
  </si>
  <si>
    <t>243CS0127</t>
  </si>
  <si>
    <t>Raghwesh Tiwari</t>
  </si>
  <si>
    <t>243CS0148</t>
  </si>
  <si>
    <t>Ritu Lodhi</t>
  </si>
  <si>
    <t>243CS0123</t>
  </si>
  <si>
    <t>Rudra Solanki</t>
  </si>
  <si>
    <t>243CS0080</t>
  </si>
  <si>
    <t>Rudransh Sharma</t>
  </si>
  <si>
    <t>243CS0086</t>
  </si>
  <si>
    <t>Sakshi Yadav</t>
  </si>
  <si>
    <t>243CS0124</t>
  </si>
  <si>
    <t>Samiksha Sakarde</t>
  </si>
  <si>
    <t>243CS0098</t>
  </si>
  <si>
    <t>Satyam Kumar Pandey</t>
  </si>
  <si>
    <t>243CS0091</t>
  </si>
  <si>
    <t>Sayyed Azimuddin</t>
  </si>
  <si>
    <t>243CSA127</t>
  </si>
  <si>
    <t>Shashank Dwivedi</t>
  </si>
  <si>
    <t>243CS0057</t>
  </si>
  <si>
    <t>Shivani Meena</t>
  </si>
  <si>
    <t>243CS0158</t>
  </si>
  <si>
    <t>Tarun Ojha</t>
  </si>
  <si>
    <t>243CSE006</t>
  </si>
  <si>
    <t>Uday Sanodiya</t>
  </si>
  <si>
    <t>243CS0012</t>
  </si>
  <si>
    <t>Ujjawal Singh Bisen</t>
  </si>
  <si>
    <t>243ME0013</t>
  </si>
  <si>
    <t>Vanshidhar Pandey</t>
  </si>
  <si>
    <t>243CS0140</t>
  </si>
  <si>
    <t>Vedika Sharma</t>
  </si>
  <si>
    <t>243CS0111</t>
  </si>
  <si>
    <t>Vineeta Diwaniya</t>
  </si>
  <si>
    <t>Faculty Name</t>
  </si>
  <si>
    <t xml:space="preserve">Ms Monika
Singh </t>
  </si>
  <si>
    <t xml:space="preserve">Ms. Aditi Chourasia /Mr. Mukesh Sharma /Ms. Fiona Lawrence </t>
  </si>
  <si>
    <t xml:space="preserve"> Dr. Akash Agrawal </t>
  </si>
  <si>
    <t>Dr. Mamta Meena</t>
  </si>
  <si>
    <t>Mr. Rounak Bharadwaj</t>
  </si>
  <si>
    <t>Dr Shipra Ahuja</t>
  </si>
  <si>
    <t>Mr. Amit Singh</t>
  </si>
  <si>
    <t>Ms.Fiona Lawrence
 TG, B.Tech. II Sem</t>
  </si>
  <si>
    <t xml:space="preserve">
Dr.Mamta Meena
HOD (CSE)</t>
  </si>
  <si>
    <t>Prof. (Dr.)  Shailendra Singh 
Dean Engineering</t>
  </si>
  <si>
    <t>B. Tech(Plain) - A Section , II Semester Attendance:  March 2025</t>
  </si>
  <si>
    <t xml:space="preserve">Bootcamp </t>
  </si>
  <si>
    <t>Communication Skills-II
ENXX3HS03P
(Till 17/03/25)</t>
  </si>
  <si>
    <t>Feb+March</t>
  </si>
  <si>
    <t>Ms. Ritika Baser /Mr. Mukesh Sharma /Ms. Fiona Lawrence /</t>
  </si>
  <si>
    <t>B. Tech(Plain) - A Section , II Semester Attendance:  April 2025</t>
  </si>
  <si>
    <t>Communication Skills-II
ENXX3HS03P
2 X 3</t>
  </si>
  <si>
    <t>Life Skill Tool Kit
ENXX3SE02(4 Hrs)</t>
  </si>
  <si>
    <t>Total Class of  feb+march+april</t>
  </si>
  <si>
    <t>Total Percentage of feb+march+april</t>
  </si>
  <si>
    <t xml:space="preserve">Mr. Mukesh Sharma </t>
  </si>
  <si>
    <t xml:space="preserve">Ms. Fiona Lawrence </t>
  </si>
  <si>
    <t>Dr. Sonal John</t>
  </si>
  <si>
    <t>B. Tech(Plain) - A Section , II Semester Attendance:  May 2025</t>
  </si>
  <si>
    <t>ENGINEERING MATHEMATICS-II</t>
  </si>
  <si>
    <t>FUNDAMENTALS OF ENGINEERING</t>
  </si>
  <si>
    <t>PROGRAMMING IN C</t>
  </si>
  <si>
    <t>DIGITAL SYSTEMS</t>
  </si>
  <si>
    <t>UNIVERSAL HUMAN VALUES</t>
  </si>
  <si>
    <t>Total Class Feb+March+April</t>
  </si>
  <si>
    <t>Percentage Feb+March+April</t>
  </si>
  <si>
    <t>MST-1</t>
  </si>
  <si>
    <t>MST-2</t>
  </si>
  <si>
    <t>ABS</t>
  </si>
  <si>
    <t>abs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</si>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</sst>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1"/>
      <color theme="1"/>
      <name val="Times New Roman"/>
    </font>
    <font>
      <sz val="10"/>
      <name val="Arial"/>
    </font>
    <font>
      <b/>
      <sz val="20"/>
      <color theme="1"/>
      <name val="Times New Roman"/>
    </font>
    <font>
      <b/>
      <u/>
      <sz val="18"/>
      <color theme="1"/>
      <name val="Times New Roman"/>
    </font>
    <font>
      <b/>
      <sz val="15"/>
      <color theme="1"/>
      <name val="Times New Roman"/>
    </font>
    <font>
      <b/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rgb="FF212529"/>
      <name val="Inherit"/>
    </font>
    <font>
      <sz val="10"/>
      <color theme="1"/>
      <name val="Arial"/>
    </font>
    <font>
      <b/>
      <sz val="11"/>
      <color theme="1"/>
      <name val="Times New Roman"/>
    </font>
    <font>
      <sz val="10"/>
      <color theme="1"/>
      <name val="Arial"/>
      <scheme val="minor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9" fillId="3" borderId="2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9" fontId="8" fillId="2" borderId="25" xfId="0" applyNumberFormat="1" applyFont="1" applyFill="1" applyBorder="1" applyAlignment="1">
      <alignment horizontal="center"/>
    </xf>
    <xf numFmtId="0" fontId="9" fillId="2" borderId="22" xfId="0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8" fillId="2" borderId="26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9" fillId="2" borderId="3" xfId="0" applyFont="1" applyFill="1" applyBorder="1" applyAlignment="1">
      <alignment vertical="top" wrapText="1"/>
    </xf>
    <xf numFmtId="0" fontId="8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30" xfId="0" applyFont="1" applyBorder="1" applyAlignment="1">
      <alignment wrapText="1"/>
    </xf>
    <xf numFmtId="0" fontId="10" fillId="2" borderId="31" xfId="0" applyFont="1" applyFill="1" applyBorder="1"/>
    <xf numFmtId="0" fontId="10" fillId="2" borderId="17" xfId="0" applyFont="1" applyFill="1" applyBorder="1"/>
    <xf numFmtId="0" fontId="12" fillId="0" borderId="0" xfId="0" applyFont="1"/>
    <xf numFmtId="0" fontId="8" fillId="2" borderId="19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8" fillId="2" borderId="40" xfId="0" applyNumberFormat="1" applyFont="1" applyFill="1" applyBorder="1" applyAlignment="1">
      <alignment horizontal="center"/>
    </xf>
    <xf numFmtId="10" fontId="12" fillId="0" borderId="0" xfId="0" applyNumberFormat="1" applyFont="1"/>
    <xf numFmtId="0" fontId="8" fillId="2" borderId="2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2" fontId="8" fillId="2" borderId="42" xfId="0" applyNumberFormat="1" applyFont="1" applyFill="1" applyBorder="1" applyAlignment="1">
      <alignment horizontal="center"/>
    </xf>
    <xf numFmtId="0" fontId="9" fillId="2" borderId="22" xfId="0" applyFont="1" applyFill="1" applyBorder="1" applyAlignment="1">
      <alignment vertical="top" wrapText="1"/>
    </xf>
    <xf numFmtId="0" fontId="8" fillId="2" borderId="5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wrapText="1"/>
    </xf>
    <xf numFmtId="0" fontId="6" fillId="0" borderId="43" xfId="0" applyFont="1" applyBorder="1" applyAlignment="1">
      <alignment wrapText="1"/>
    </xf>
    <xf numFmtId="0" fontId="10" fillId="2" borderId="18" xfId="0" applyFont="1" applyFill="1" applyBorder="1"/>
    <xf numFmtId="0" fontId="10" fillId="2" borderId="19" xfId="0" applyFont="1" applyFill="1" applyBorder="1"/>
    <xf numFmtId="0" fontId="8" fillId="2" borderId="4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8" xfId="0" applyFont="1" applyBorder="1"/>
    <xf numFmtId="0" fontId="8" fillId="2" borderId="49" xfId="0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2" fontId="8" fillId="2" borderId="39" xfId="0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9" fontId="12" fillId="0" borderId="22" xfId="0" applyNumberFormat="1" applyFont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2" xfId="0" applyFont="1" applyFill="1" applyBorder="1" applyAlignment="1">
      <alignment horizontal="center"/>
    </xf>
    <xf numFmtId="0" fontId="6" fillId="0" borderId="56" xfId="0" applyFont="1" applyBorder="1" applyAlignment="1">
      <alignment horizontal="center" wrapText="1"/>
    </xf>
    <xf numFmtId="9" fontId="8" fillId="2" borderId="40" xfId="0" applyNumberFormat="1" applyFont="1" applyFill="1" applyBorder="1" applyAlignment="1">
      <alignment horizontal="center"/>
    </xf>
    <xf numFmtId="0" fontId="8" fillId="2" borderId="52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0" fontId="2" fillId="0" borderId="13" xfId="0" applyFont="1" applyBorder="1"/>
    <xf numFmtId="0" fontId="2" fillId="0" borderId="15" xfId="0" applyFont="1" applyBorder="1"/>
    <xf numFmtId="0" fontId="7" fillId="2" borderId="9" xfId="0" applyFont="1" applyFill="1" applyBorder="1" applyAlignment="1">
      <alignment horizontal="center" wrapText="1"/>
    </xf>
    <xf numFmtId="0" fontId="2" fillId="0" borderId="14" xfId="0" applyFont="1" applyBorder="1"/>
    <xf numFmtId="0" fontId="2" fillId="0" borderId="16" xfId="0" applyFont="1" applyBorder="1"/>
    <xf numFmtId="0" fontId="10" fillId="0" borderId="35" xfId="0" applyFont="1" applyBorder="1"/>
    <xf numFmtId="0" fontId="2" fillId="0" borderId="36" xfId="0" applyFont="1" applyBorder="1"/>
    <xf numFmtId="0" fontId="2" fillId="0" borderId="35" xfId="0" applyFont="1" applyBorder="1"/>
    <xf numFmtId="0" fontId="2" fillId="0" borderId="1" xfId="0" applyFont="1" applyBorder="1"/>
    <xf numFmtId="0" fontId="2" fillId="0" borderId="37" xfId="0" applyFont="1" applyBorder="1"/>
    <xf numFmtId="0" fontId="7" fillId="0" borderId="32" xfId="0" applyFont="1" applyBorder="1" applyAlignment="1">
      <alignment horizontal="center" wrapText="1"/>
    </xf>
    <xf numFmtId="0" fontId="2" fillId="0" borderId="3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4" fillId="2" borderId="5" xfId="0" applyFont="1" applyFill="1" applyBorder="1" applyAlignment="1">
      <alignment horizontal="center"/>
    </xf>
    <xf numFmtId="0" fontId="2" fillId="0" borderId="10" xfId="0" applyFont="1" applyBorder="1"/>
    <xf numFmtId="0" fontId="2" fillId="0" borderId="20" xfId="0" applyFont="1" applyBorder="1"/>
    <xf numFmtId="0" fontId="5" fillId="2" borderId="6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21" xfId="0" applyFont="1" applyBorder="1"/>
    <xf numFmtId="0" fontId="6" fillId="0" borderId="7" xfId="0" applyFont="1" applyBorder="1" applyAlignment="1">
      <alignment horizontal="center" wrapText="1"/>
    </xf>
    <xf numFmtId="0" fontId="2" fillId="0" borderId="12" xfId="0" applyFont="1" applyBorder="1"/>
    <xf numFmtId="0" fontId="2" fillId="0" borderId="17" xfId="0" applyFont="1" applyBorder="1"/>
    <xf numFmtId="0" fontId="11" fillId="0" borderId="32" xfId="0" applyFont="1" applyBorder="1" applyAlignment="1">
      <alignment horizontal="center" wrapText="1"/>
    </xf>
    <xf numFmtId="0" fontId="2" fillId="0" borderId="33" xfId="0" applyFont="1" applyBorder="1"/>
    <xf numFmtId="0" fontId="0" fillId="0" borderId="0" xfId="0" applyFont="1" applyAlignment="1"/>
    <xf numFmtId="0" fontId="7" fillId="2" borderId="3" xfId="0" applyFont="1" applyFill="1" applyBorder="1" applyAlignment="1">
      <alignment horizontal="center"/>
    </xf>
    <xf numFmtId="0" fontId="2" fillId="0" borderId="29" xfId="0" applyFont="1" applyBorder="1"/>
    <xf numFmtId="0" fontId="10" fillId="0" borderId="32" xfId="0" applyFont="1" applyBorder="1"/>
    <xf numFmtId="0" fontId="12" fillId="0" borderId="0" xfId="0" applyFont="1"/>
    <xf numFmtId="0" fontId="3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44" xfId="0" applyFont="1" applyBorder="1" applyAlignment="1">
      <alignment horizontal="center" wrapText="1"/>
    </xf>
    <xf numFmtId="0" fontId="2" fillId="0" borderId="45" xfId="0" applyFont="1" applyBorder="1"/>
    <xf numFmtId="0" fontId="2" fillId="0" borderId="46" xfId="0" applyFont="1" applyBorder="1"/>
    <xf numFmtId="0" fontId="13" fillId="0" borderId="53" xfId="0" applyFont="1" applyBorder="1" applyAlignment="1">
      <alignment horizontal="center" vertical="center" wrapText="1"/>
    </xf>
    <xf numFmtId="0" fontId="2" fillId="0" borderId="54" xfId="0" applyFont="1" applyBorder="1"/>
    <xf numFmtId="0" fontId="2" fillId="0" borderId="55" xfId="0" applyFont="1" applyBorder="1"/>
    <xf numFmtId="0" fontId="8" fillId="2" borderId="30" xfId="0" applyFont="1" applyFill="1" applyBorder="1" applyAlignment="1">
      <alignment horizontal="center"/>
    </xf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4"/>
  <sheetViews>
    <sheetView topLeftCell="H3" workbookViewId="0">
      <selection sqref="A1:L1"/>
    </sheetView>
  </sheetViews>
  <sheetFormatPr defaultColWidth="12.5390625" defaultRowHeight="15.75" customHeight="1" x14ac:dyDescent="0.15"/>
  <cols>
    <col min="3" max="3" width="24.13671875" customWidth="1"/>
    <col min="6" max="6" width="14.83203125" customWidth="1"/>
    <col min="9" max="9" width="14.29296875" customWidth="1"/>
  </cols>
  <sheetData>
    <row r="1" spans="1:12" ht="26.25" x14ac:dyDescent="0.3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25.5" x14ac:dyDescent="0.3">
      <c r="A2" s="95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25.5" x14ac:dyDescent="0.3">
      <c r="A3" s="95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ht="12.75" x14ac:dyDescent="0.15">
      <c r="A4" s="97" t="s">
        <v>3</v>
      </c>
      <c r="B4" s="100" t="s">
        <v>4</v>
      </c>
      <c r="C4" s="100" t="s">
        <v>5</v>
      </c>
      <c r="D4" s="103" t="s">
        <v>6</v>
      </c>
      <c r="E4" s="103" t="s">
        <v>7</v>
      </c>
      <c r="F4" s="103" t="s">
        <v>8</v>
      </c>
      <c r="G4" s="103" t="s">
        <v>9</v>
      </c>
      <c r="H4" s="103" t="s">
        <v>10</v>
      </c>
      <c r="I4" s="103" t="s">
        <v>11</v>
      </c>
      <c r="J4" s="103" t="s">
        <v>12</v>
      </c>
      <c r="K4" s="80" t="s">
        <v>13</v>
      </c>
      <c r="L4" s="83" t="s">
        <v>14</v>
      </c>
    </row>
    <row r="5" spans="1:12" ht="12.75" x14ac:dyDescent="0.15">
      <c r="A5" s="98"/>
      <c r="B5" s="101"/>
      <c r="C5" s="101"/>
      <c r="D5" s="104"/>
      <c r="E5" s="104"/>
      <c r="F5" s="104"/>
      <c r="G5" s="104"/>
      <c r="H5" s="104"/>
      <c r="I5" s="104"/>
      <c r="J5" s="104"/>
      <c r="K5" s="81"/>
      <c r="L5" s="84"/>
    </row>
    <row r="6" spans="1:12" ht="12.75" x14ac:dyDescent="0.15">
      <c r="A6" s="98"/>
      <c r="B6" s="101"/>
      <c r="C6" s="101"/>
      <c r="D6" s="104"/>
      <c r="E6" s="104"/>
      <c r="F6" s="104"/>
      <c r="G6" s="104"/>
      <c r="H6" s="104"/>
      <c r="I6" s="104"/>
      <c r="J6" s="104"/>
      <c r="K6" s="82"/>
      <c r="L6" s="85"/>
    </row>
    <row r="7" spans="1:12" ht="1.5" customHeight="1" x14ac:dyDescent="0.15">
      <c r="A7" s="98"/>
      <c r="B7" s="101"/>
      <c r="C7" s="101"/>
      <c r="D7" s="105"/>
      <c r="E7" s="105"/>
      <c r="F7" s="105"/>
      <c r="G7" s="105"/>
      <c r="H7" s="105"/>
      <c r="I7" s="105"/>
      <c r="J7" s="105"/>
      <c r="K7" s="1">
        <f t="shared" ref="K7:K65" si="0">SUM(D7:J7)</f>
        <v>0</v>
      </c>
      <c r="L7" s="2" t="s">
        <v>15</v>
      </c>
    </row>
    <row r="8" spans="1:12" ht="14.25" x14ac:dyDescent="0.15">
      <c r="A8" s="99"/>
      <c r="B8" s="102"/>
      <c r="C8" s="102"/>
      <c r="D8" s="3">
        <v>10</v>
      </c>
      <c r="E8" s="3">
        <v>9</v>
      </c>
      <c r="F8" s="3">
        <v>2</v>
      </c>
      <c r="G8" s="3">
        <v>6</v>
      </c>
      <c r="H8" s="3">
        <v>7</v>
      </c>
      <c r="I8" s="3">
        <v>4</v>
      </c>
      <c r="J8" s="3">
        <v>2</v>
      </c>
      <c r="K8" s="4">
        <f t="shared" si="0"/>
        <v>40</v>
      </c>
      <c r="L8" s="4"/>
    </row>
    <row r="9" spans="1:12" ht="15" x14ac:dyDescent="0.15">
      <c r="A9" s="5">
        <v>1</v>
      </c>
      <c r="B9" s="6" t="s">
        <v>16</v>
      </c>
      <c r="C9" s="7" t="s">
        <v>17</v>
      </c>
      <c r="D9" s="8">
        <v>0</v>
      </c>
      <c r="E9" s="9">
        <v>2</v>
      </c>
      <c r="F9" s="9">
        <v>0</v>
      </c>
      <c r="G9" s="9">
        <v>2</v>
      </c>
      <c r="H9" s="9">
        <v>1</v>
      </c>
      <c r="I9" s="9">
        <v>1</v>
      </c>
      <c r="J9" s="9">
        <v>2</v>
      </c>
      <c r="K9" s="10">
        <f t="shared" si="0"/>
        <v>8</v>
      </c>
      <c r="L9" s="11">
        <f>(K9/K8)</f>
        <v>0.2</v>
      </c>
    </row>
    <row r="10" spans="1:12" ht="15" x14ac:dyDescent="0.15">
      <c r="A10" s="5">
        <v>2</v>
      </c>
      <c r="B10" s="12" t="s">
        <v>18</v>
      </c>
      <c r="C10" s="13" t="s">
        <v>19</v>
      </c>
      <c r="D10" s="14">
        <v>3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1</v>
      </c>
      <c r="K10" s="16">
        <f t="shared" si="0"/>
        <v>6</v>
      </c>
      <c r="L10" s="11">
        <f>(K10/K8)</f>
        <v>0.15</v>
      </c>
    </row>
    <row r="11" spans="1:12" ht="15" x14ac:dyDescent="0.15">
      <c r="A11" s="5">
        <v>3</v>
      </c>
      <c r="B11" s="6" t="s">
        <v>20</v>
      </c>
      <c r="C11" s="7" t="s">
        <v>21</v>
      </c>
      <c r="D11" s="14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6">
        <f t="shared" si="0"/>
        <v>6</v>
      </c>
      <c r="L11" s="11">
        <f>(K11/K8)</f>
        <v>0.15</v>
      </c>
    </row>
    <row r="12" spans="1:12" ht="15" x14ac:dyDescent="0.15">
      <c r="A12" s="5">
        <v>4</v>
      </c>
      <c r="B12" s="12" t="s">
        <v>22</v>
      </c>
      <c r="C12" s="13" t="s">
        <v>23</v>
      </c>
      <c r="D12" s="14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6">
        <f t="shared" si="0"/>
        <v>0</v>
      </c>
      <c r="L12" s="11">
        <f>(K12/K8)</f>
        <v>0</v>
      </c>
    </row>
    <row r="13" spans="1:12" ht="15" x14ac:dyDescent="0.15">
      <c r="A13" s="5">
        <v>5</v>
      </c>
      <c r="B13" s="6" t="s">
        <v>24</v>
      </c>
      <c r="C13" s="7" t="s">
        <v>25</v>
      </c>
      <c r="D13" s="14">
        <v>4</v>
      </c>
      <c r="E13" s="15">
        <v>4</v>
      </c>
      <c r="F13" s="15">
        <v>0</v>
      </c>
      <c r="G13" s="15">
        <v>5</v>
      </c>
      <c r="H13" s="15">
        <v>6</v>
      </c>
      <c r="I13" s="15">
        <v>1</v>
      </c>
      <c r="J13" s="15">
        <v>1</v>
      </c>
      <c r="K13" s="16">
        <f t="shared" si="0"/>
        <v>21</v>
      </c>
      <c r="L13" s="11">
        <f>(K13/K8)</f>
        <v>0.52500000000000002</v>
      </c>
    </row>
    <row r="14" spans="1:12" ht="15" x14ac:dyDescent="0.15">
      <c r="A14" s="5">
        <v>6</v>
      </c>
      <c r="B14" s="12" t="s">
        <v>26</v>
      </c>
      <c r="C14" s="13" t="s">
        <v>27</v>
      </c>
      <c r="D14" s="14">
        <v>4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</v>
      </c>
      <c r="K14" s="16">
        <f t="shared" si="0"/>
        <v>5</v>
      </c>
      <c r="L14" s="11">
        <f>(K14/K8)</f>
        <v>0.125</v>
      </c>
    </row>
    <row r="15" spans="1:12" ht="15" x14ac:dyDescent="0.15">
      <c r="A15" s="5">
        <v>7</v>
      </c>
      <c r="B15" s="6" t="s">
        <v>28</v>
      </c>
      <c r="C15" s="7" t="s">
        <v>29</v>
      </c>
      <c r="D15" s="14">
        <v>7</v>
      </c>
      <c r="E15" s="15">
        <v>2</v>
      </c>
      <c r="F15" s="15">
        <v>0</v>
      </c>
      <c r="G15" s="15">
        <v>0</v>
      </c>
      <c r="H15" s="15">
        <v>0</v>
      </c>
      <c r="I15" s="15">
        <v>1</v>
      </c>
      <c r="J15" s="15">
        <v>1</v>
      </c>
      <c r="K15" s="16">
        <f t="shared" si="0"/>
        <v>11</v>
      </c>
      <c r="L15" s="11">
        <f>(K15/K8)</f>
        <v>0.27500000000000002</v>
      </c>
    </row>
    <row r="16" spans="1:12" ht="15" x14ac:dyDescent="0.15">
      <c r="A16" s="5">
        <v>8</v>
      </c>
      <c r="B16" s="12" t="s">
        <v>30</v>
      </c>
      <c r="C16" s="13" t="s">
        <v>31</v>
      </c>
      <c r="D16" s="14">
        <v>7</v>
      </c>
      <c r="E16" s="15">
        <v>4</v>
      </c>
      <c r="F16" s="15">
        <v>0</v>
      </c>
      <c r="G16" s="15">
        <v>5</v>
      </c>
      <c r="H16" s="15">
        <v>6</v>
      </c>
      <c r="I16" s="15">
        <v>3</v>
      </c>
      <c r="J16" s="15">
        <v>0</v>
      </c>
      <c r="K16" s="16">
        <f t="shared" si="0"/>
        <v>25</v>
      </c>
      <c r="L16" s="11">
        <f>(K16/K8)</f>
        <v>0.625</v>
      </c>
    </row>
    <row r="17" spans="1:12" ht="15" x14ac:dyDescent="0.15">
      <c r="A17" s="5">
        <v>9</v>
      </c>
      <c r="B17" s="6" t="s">
        <v>32</v>
      </c>
      <c r="C17" s="7" t="s">
        <v>33</v>
      </c>
      <c r="D17" s="14">
        <v>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6">
        <f t="shared" si="0"/>
        <v>6</v>
      </c>
      <c r="L17" s="11">
        <f>(K17/K8)</f>
        <v>0.15</v>
      </c>
    </row>
    <row r="18" spans="1:12" ht="15" x14ac:dyDescent="0.15">
      <c r="A18" s="5">
        <v>10</v>
      </c>
      <c r="B18" s="12" t="s">
        <v>34</v>
      </c>
      <c r="C18" s="13" t="s">
        <v>35</v>
      </c>
      <c r="D18" s="14">
        <v>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6">
        <f t="shared" si="0"/>
        <v>2</v>
      </c>
      <c r="L18" s="11">
        <f>(K18/K8)</f>
        <v>0.05</v>
      </c>
    </row>
    <row r="19" spans="1:12" ht="15" x14ac:dyDescent="0.15">
      <c r="A19" s="5">
        <v>11</v>
      </c>
      <c r="B19" s="6" t="s">
        <v>36</v>
      </c>
      <c r="C19" s="7" t="s">
        <v>37</v>
      </c>
      <c r="D19" s="14">
        <v>8</v>
      </c>
      <c r="E19" s="15">
        <v>4</v>
      </c>
      <c r="F19" s="15">
        <v>2</v>
      </c>
      <c r="G19" s="15">
        <v>5</v>
      </c>
      <c r="H19" s="15">
        <v>5</v>
      </c>
      <c r="I19" s="15">
        <v>1</v>
      </c>
      <c r="J19" s="15">
        <v>0</v>
      </c>
      <c r="K19" s="16">
        <f t="shared" si="0"/>
        <v>25</v>
      </c>
      <c r="L19" s="11">
        <f>(K19/K8)</f>
        <v>0.625</v>
      </c>
    </row>
    <row r="20" spans="1:12" ht="15" x14ac:dyDescent="0.15">
      <c r="A20" s="5">
        <v>12</v>
      </c>
      <c r="B20" s="12" t="s">
        <v>38</v>
      </c>
      <c r="C20" s="13" t="s">
        <v>39</v>
      </c>
      <c r="D20" s="14">
        <v>9</v>
      </c>
      <c r="E20" s="15">
        <v>4</v>
      </c>
      <c r="F20" s="15">
        <v>2</v>
      </c>
      <c r="G20" s="15">
        <v>5</v>
      </c>
      <c r="H20" s="15">
        <v>4</v>
      </c>
      <c r="I20" s="15">
        <v>1</v>
      </c>
      <c r="J20" s="15">
        <v>1</v>
      </c>
      <c r="K20" s="16">
        <f t="shared" si="0"/>
        <v>26</v>
      </c>
      <c r="L20" s="11">
        <f>(K20/K8)</f>
        <v>0.65</v>
      </c>
    </row>
    <row r="21" spans="1:12" ht="15" x14ac:dyDescent="0.15">
      <c r="A21" s="5">
        <v>13</v>
      </c>
      <c r="B21" s="6" t="s">
        <v>40</v>
      </c>
      <c r="C21" s="7" t="s">
        <v>41</v>
      </c>
      <c r="D21" s="14">
        <v>9</v>
      </c>
      <c r="E21" s="15">
        <v>3</v>
      </c>
      <c r="F21" s="15">
        <v>2</v>
      </c>
      <c r="G21" s="15">
        <v>5</v>
      </c>
      <c r="H21" s="15">
        <v>5</v>
      </c>
      <c r="I21" s="15">
        <v>1</v>
      </c>
      <c r="J21" s="15">
        <v>0</v>
      </c>
      <c r="K21" s="16">
        <f t="shared" si="0"/>
        <v>25</v>
      </c>
      <c r="L21" s="11">
        <f>(K21/K8)</f>
        <v>0.625</v>
      </c>
    </row>
    <row r="22" spans="1:12" ht="15" x14ac:dyDescent="0.15">
      <c r="A22" s="5">
        <v>14</v>
      </c>
      <c r="B22" s="12" t="s">
        <v>42</v>
      </c>
      <c r="C22" s="13" t="s">
        <v>43</v>
      </c>
      <c r="D22" s="14">
        <v>8</v>
      </c>
      <c r="E22" s="15">
        <v>4</v>
      </c>
      <c r="F22" s="15">
        <v>2</v>
      </c>
      <c r="G22" s="15">
        <v>5</v>
      </c>
      <c r="H22" s="15">
        <v>5</v>
      </c>
      <c r="I22" s="15">
        <v>2</v>
      </c>
      <c r="J22" s="15">
        <v>0</v>
      </c>
      <c r="K22" s="16">
        <f t="shared" si="0"/>
        <v>26</v>
      </c>
      <c r="L22" s="11">
        <f>(K22/K8)</f>
        <v>0.65</v>
      </c>
    </row>
    <row r="23" spans="1:12" ht="15" x14ac:dyDescent="0.15">
      <c r="A23" s="5">
        <v>15</v>
      </c>
      <c r="B23" s="6" t="s">
        <v>44</v>
      </c>
      <c r="C23" s="7" t="s">
        <v>45</v>
      </c>
      <c r="D23" s="14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6">
        <f t="shared" si="0"/>
        <v>0</v>
      </c>
      <c r="L23" s="11">
        <f>(K23/K8)</f>
        <v>0</v>
      </c>
    </row>
    <row r="24" spans="1:12" ht="15" x14ac:dyDescent="0.15">
      <c r="A24" s="5">
        <v>16</v>
      </c>
      <c r="B24" s="12" t="s">
        <v>46</v>
      </c>
      <c r="C24" s="13" t="s">
        <v>47</v>
      </c>
      <c r="D24" s="14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6">
        <f t="shared" si="0"/>
        <v>0</v>
      </c>
      <c r="L24" s="11">
        <f>(K24/K8)</f>
        <v>0</v>
      </c>
    </row>
    <row r="25" spans="1:12" ht="15" x14ac:dyDescent="0.15">
      <c r="A25" s="5">
        <v>17</v>
      </c>
      <c r="B25" s="6" t="s">
        <v>48</v>
      </c>
      <c r="C25" s="7" t="s">
        <v>49</v>
      </c>
      <c r="D25" s="14">
        <v>4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6">
        <f t="shared" si="0"/>
        <v>4</v>
      </c>
      <c r="L25" s="11">
        <f>(K25/K8)</f>
        <v>0.1</v>
      </c>
    </row>
    <row r="26" spans="1:12" ht="15" x14ac:dyDescent="0.15">
      <c r="A26" s="5">
        <v>18</v>
      </c>
      <c r="B26" s="12" t="s">
        <v>50</v>
      </c>
      <c r="C26" s="13" t="s">
        <v>51</v>
      </c>
      <c r="D26" s="14">
        <v>5</v>
      </c>
      <c r="E26" s="15">
        <v>2</v>
      </c>
      <c r="F26" s="15">
        <v>0</v>
      </c>
      <c r="G26" s="15">
        <v>3</v>
      </c>
      <c r="H26" s="15">
        <v>3</v>
      </c>
      <c r="I26" s="15">
        <v>2</v>
      </c>
      <c r="J26" s="15">
        <v>0</v>
      </c>
      <c r="K26" s="16">
        <f t="shared" si="0"/>
        <v>15</v>
      </c>
      <c r="L26" s="11">
        <f>(K26/K8)</f>
        <v>0.375</v>
      </c>
    </row>
    <row r="27" spans="1:12" ht="15" x14ac:dyDescent="0.15">
      <c r="A27" s="5">
        <v>19</v>
      </c>
      <c r="B27" s="6" t="s">
        <v>52</v>
      </c>
      <c r="C27" s="7" t="s">
        <v>53</v>
      </c>
      <c r="D27" s="14">
        <v>6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6">
        <f t="shared" si="0"/>
        <v>8</v>
      </c>
      <c r="L27" s="11">
        <f>(K27/K8)</f>
        <v>0.2</v>
      </c>
    </row>
    <row r="28" spans="1:12" ht="15" x14ac:dyDescent="0.15">
      <c r="A28" s="5">
        <v>20</v>
      </c>
      <c r="B28" s="12" t="s">
        <v>54</v>
      </c>
      <c r="C28" s="13" t="s">
        <v>55</v>
      </c>
      <c r="D28" s="14">
        <v>7</v>
      </c>
      <c r="E28" s="15">
        <v>3</v>
      </c>
      <c r="F28" s="15">
        <v>0</v>
      </c>
      <c r="G28" s="15">
        <v>3</v>
      </c>
      <c r="H28" s="15">
        <v>0</v>
      </c>
      <c r="I28" s="15">
        <v>0</v>
      </c>
      <c r="J28" s="15">
        <v>0</v>
      </c>
      <c r="K28" s="16">
        <f t="shared" si="0"/>
        <v>13</v>
      </c>
      <c r="L28" s="11">
        <f>(K28/K8)</f>
        <v>0.32500000000000001</v>
      </c>
    </row>
    <row r="29" spans="1:12" ht="15" x14ac:dyDescent="0.15">
      <c r="A29" s="5">
        <v>21</v>
      </c>
      <c r="B29" s="6" t="s">
        <v>56</v>
      </c>
      <c r="C29" s="7" t="s">
        <v>57</v>
      </c>
      <c r="D29" s="14">
        <v>7</v>
      </c>
      <c r="E29" s="15">
        <v>1</v>
      </c>
      <c r="F29" s="15">
        <v>0</v>
      </c>
      <c r="G29" s="15">
        <v>2</v>
      </c>
      <c r="H29" s="15">
        <v>2</v>
      </c>
      <c r="I29" s="15">
        <v>1</v>
      </c>
      <c r="J29" s="15">
        <v>0</v>
      </c>
      <c r="K29" s="16">
        <f t="shared" si="0"/>
        <v>13</v>
      </c>
      <c r="L29" s="11">
        <f>(K29/K8)</f>
        <v>0.32500000000000001</v>
      </c>
    </row>
    <row r="30" spans="1:12" ht="15" x14ac:dyDescent="0.15">
      <c r="A30" s="5">
        <v>22</v>
      </c>
      <c r="B30" s="12" t="s">
        <v>58</v>
      </c>
      <c r="C30" s="13" t="s">
        <v>59</v>
      </c>
      <c r="D30" s="14">
        <v>6</v>
      </c>
      <c r="E30" s="15">
        <v>2</v>
      </c>
      <c r="F30" s="15">
        <v>0</v>
      </c>
      <c r="G30" s="15">
        <v>3</v>
      </c>
      <c r="H30" s="15">
        <v>2</v>
      </c>
      <c r="I30" s="15">
        <v>0</v>
      </c>
      <c r="J30" s="15">
        <v>1</v>
      </c>
      <c r="K30" s="16">
        <f t="shared" si="0"/>
        <v>14</v>
      </c>
      <c r="L30" s="11">
        <f>(K30/K8)</f>
        <v>0.35</v>
      </c>
    </row>
    <row r="31" spans="1:12" ht="15" x14ac:dyDescent="0.15">
      <c r="A31" s="5">
        <v>23</v>
      </c>
      <c r="B31" s="6" t="s">
        <v>60</v>
      </c>
      <c r="C31" s="7" t="s">
        <v>61</v>
      </c>
      <c r="D31" s="14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6">
        <f t="shared" si="0"/>
        <v>0</v>
      </c>
      <c r="L31" s="11">
        <f>(K31/K8)</f>
        <v>0</v>
      </c>
    </row>
    <row r="32" spans="1:12" ht="15" x14ac:dyDescent="0.15">
      <c r="A32" s="5">
        <v>24</v>
      </c>
      <c r="B32" s="12" t="s">
        <v>62</v>
      </c>
      <c r="C32" s="13" t="s">
        <v>63</v>
      </c>
      <c r="D32" s="14">
        <v>8</v>
      </c>
      <c r="E32" s="15">
        <v>3</v>
      </c>
      <c r="F32" s="15">
        <v>2</v>
      </c>
      <c r="G32" s="15">
        <v>4</v>
      </c>
      <c r="H32" s="15">
        <v>3</v>
      </c>
      <c r="I32" s="15">
        <v>2</v>
      </c>
      <c r="J32" s="15">
        <v>0</v>
      </c>
      <c r="K32" s="16">
        <f t="shared" si="0"/>
        <v>22</v>
      </c>
      <c r="L32" s="11">
        <f>(K32/K8)</f>
        <v>0.55000000000000004</v>
      </c>
    </row>
    <row r="33" spans="1:12" ht="15" x14ac:dyDescent="0.15">
      <c r="A33" s="5">
        <v>25</v>
      </c>
      <c r="B33" s="6" t="s">
        <v>64</v>
      </c>
      <c r="C33" s="7" t="s">
        <v>65</v>
      </c>
      <c r="D33" s="14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6">
        <f t="shared" si="0"/>
        <v>0</v>
      </c>
      <c r="L33" s="11">
        <f>(K33/K8)</f>
        <v>0</v>
      </c>
    </row>
    <row r="34" spans="1:12" ht="15" x14ac:dyDescent="0.15">
      <c r="A34" s="5">
        <v>26</v>
      </c>
      <c r="B34" s="12" t="s">
        <v>66</v>
      </c>
      <c r="C34" s="13" t="s">
        <v>67</v>
      </c>
      <c r="D34" s="14">
        <v>2</v>
      </c>
      <c r="E34" s="15">
        <v>1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6">
        <f t="shared" si="0"/>
        <v>5</v>
      </c>
      <c r="L34" s="11">
        <f>(K34/K8)</f>
        <v>0.125</v>
      </c>
    </row>
    <row r="35" spans="1:12" ht="15" x14ac:dyDescent="0.15">
      <c r="A35" s="5">
        <v>27</v>
      </c>
      <c r="B35" s="6" t="s">
        <v>68</v>
      </c>
      <c r="C35" s="7" t="s">
        <v>69</v>
      </c>
      <c r="D35" s="14">
        <v>8</v>
      </c>
      <c r="E35" s="15">
        <v>3</v>
      </c>
      <c r="F35" s="15">
        <v>2</v>
      </c>
      <c r="G35" s="15">
        <v>5</v>
      </c>
      <c r="H35" s="15">
        <v>3</v>
      </c>
      <c r="I35" s="15">
        <v>1</v>
      </c>
      <c r="J35" s="15">
        <v>0</v>
      </c>
      <c r="K35" s="16">
        <f t="shared" si="0"/>
        <v>22</v>
      </c>
      <c r="L35" s="11">
        <f>(K35/K8)</f>
        <v>0.55000000000000004</v>
      </c>
    </row>
    <row r="36" spans="1:12" ht="15" x14ac:dyDescent="0.15">
      <c r="A36" s="5">
        <v>28</v>
      </c>
      <c r="B36" s="12" t="s">
        <v>70</v>
      </c>
      <c r="C36" s="13" t="s">
        <v>71</v>
      </c>
      <c r="D36" s="14">
        <v>8</v>
      </c>
      <c r="E36" s="15">
        <v>1</v>
      </c>
      <c r="F36" s="15">
        <v>0</v>
      </c>
      <c r="G36" s="15">
        <v>0</v>
      </c>
      <c r="H36" s="15">
        <v>0</v>
      </c>
      <c r="I36" s="15">
        <v>0</v>
      </c>
      <c r="J36" s="15">
        <v>1</v>
      </c>
      <c r="K36" s="16">
        <f t="shared" si="0"/>
        <v>10</v>
      </c>
      <c r="L36" s="11">
        <f>(K36/K8)</f>
        <v>0.25</v>
      </c>
    </row>
    <row r="37" spans="1:12" ht="15" x14ac:dyDescent="0.15">
      <c r="A37" s="5">
        <v>29</v>
      </c>
      <c r="B37" s="6" t="s">
        <v>72</v>
      </c>
      <c r="C37" s="7" t="s">
        <v>73</v>
      </c>
      <c r="D37" s="14">
        <v>8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6">
        <f t="shared" si="0"/>
        <v>8</v>
      </c>
      <c r="L37" s="11">
        <f>(K37/K8)</f>
        <v>0.2</v>
      </c>
    </row>
    <row r="38" spans="1:12" ht="15" x14ac:dyDescent="0.15">
      <c r="A38" s="5">
        <v>30</v>
      </c>
      <c r="B38" s="12" t="s">
        <v>74</v>
      </c>
      <c r="C38" s="13" t="s">
        <v>75</v>
      </c>
      <c r="D38" s="14">
        <v>7</v>
      </c>
      <c r="E38" s="15">
        <v>1</v>
      </c>
      <c r="F38" s="15">
        <v>0</v>
      </c>
      <c r="G38" s="15">
        <v>1</v>
      </c>
      <c r="H38" s="15">
        <v>1</v>
      </c>
      <c r="I38" s="15">
        <v>0</v>
      </c>
      <c r="J38" s="15">
        <v>1</v>
      </c>
      <c r="K38" s="16">
        <f t="shared" si="0"/>
        <v>11</v>
      </c>
      <c r="L38" s="11">
        <f>(K38/K8)</f>
        <v>0.27500000000000002</v>
      </c>
    </row>
    <row r="39" spans="1:12" ht="15" x14ac:dyDescent="0.15">
      <c r="A39" s="5">
        <v>31</v>
      </c>
      <c r="B39" s="6" t="s">
        <v>76</v>
      </c>
      <c r="C39" s="7" t="s">
        <v>77</v>
      </c>
      <c r="D39" s="14">
        <v>5</v>
      </c>
      <c r="E39" s="15">
        <v>2</v>
      </c>
      <c r="F39" s="15">
        <v>2</v>
      </c>
      <c r="G39" s="15">
        <v>2</v>
      </c>
      <c r="H39" s="15">
        <v>0</v>
      </c>
      <c r="I39" s="15">
        <v>2</v>
      </c>
      <c r="J39" s="15">
        <v>1</v>
      </c>
      <c r="K39" s="16">
        <f t="shared" si="0"/>
        <v>14</v>
      </c>
      <c r="L39" s="11">
        <f>(K39/K8)</f>
        <v>0.35</v>
      </c>
    </row>
    <row r="40" spans="1:12" ht="15" x14ac:dyDescent="0.15">
      <c r="A40" s="5">
        <v>32</v>
      </c>
      <c r="B40" s="12" t="s">
        <v>78</v>
      </c>
      <c r="C40" s="13" t="s">
        <v>79</v>
      </c>
      <c r="D40" s="14">
        <v>6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1</v>
      </c>
      <c r="K40" s="16">
        <f t="shared" si="0"/>
        <v>7</v>
      </c>
      <c r="L40" s="11">
        <f>(K40/K8)</f>
        <v>0.17499999999999999</v>
      </c>
    </row>
    <row r="41" spans="1:12" ht="15" x14ac:dyDescent="0.15">
      <c r="A41" s="5">
        <v>33</v>
      </c>
      <c r="B41" s="6" t="s">
        <v>80</v>
      </c>
      <c r="C41" s="7" t="s">
        <v>81</v>
      </c>
      <c r="D41" s="14">
        <v>5</v>
      </c>
      <c r="E41" s="15">
        <v>0</v>
      </c>
      <c r="F41" s="15">
        <v>0</v>
      </c>
      <c r="G41" s="15">
        <v>0</v>
      </c>
      <c r="H41" s="15">
        <v>0</v>
      </c>
      <c r="I41" s="15">
        <v>1</v>
      </c>
      <c r="J41" s="15">
        <v>0</v>
      </c>
      <c r="K41" s="16">
        <f t="shared" si="0"/>
        <v>6</v>
      </c>
      <c r="L41" s="11">
        <f>(K41/K8)</f>
        <v>0.15</v>
      </c>
    </row>
    <row r="42" spans="1:12" ht="15" x14ac:dyDescent="0.15">
      <c r="A42" s="5">
        <v>34</v>
      </c>
      <c r="B42" s="12" t="s">
        <v>82</v>
      </c>
      <c r="C42" s="13" t="s">
        <v>83</v>
      </c>
      <c r="D42" s="14">
        <v>2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6">
        <f t="shared" si="0"/>
        <v>3</v>
      </c>
      <c r="L42" s="11">
        <f>(K42/K8)</f>
        <v>7.4999999999999997E-2</v>
      </c>
    </row>
    <row r="43" spans="1:12" ht="15" x14ac:dyDescent="0.15">
      <c r="A43" s="5">
        <v>35</v>
      </c>
      <c r="B43" s="6" t="s">
        <v>84</v>
      </c>
      <c r="C43" s="7" t="s">
        <v>85</v>
      </c>
      <c r="D43" s="14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6">
        <f t="shared" si="0"/>
        <v>0</v>
      </c>
      <c r="L43" s="11">
        <f>(K43/K8)</f>
        <v>0</v>
      </c>
    </row>
    <row r="44" spans="1:12" ht="15" x14ac:dyDescent="0.15">
      <c r="A44" s="5">
        <v>36</v>
      </c>
      <c r="B44" s="12" t="s">
        <v>86</v>
      </c>
      <c r="C44" s="13" t="s">
        <v>87</v>
      </c>
      <c r="D44" s="14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6">
        <f t="shared" si="0"/>
        <v>0</v>
      </c>
      <c r="L44" s="11">
        <f>(K44/K8)</f>
        <v>0</v>
      </c>
    </row>
    <row r="45" spans="1:12" ht="15" x14ac:dyDescent="0.15">
      <c r="A45" s="5">
        <v>37</v>
      </c>
      <c r="B45" s="6" t="s">
        <v>88</v>
      </c>
      <c r="C45" s="7" t="s">
        <v>89</v>
      </c>
      <c r="D45" s="14">
        <v>0</v>
      </c>
      <c r="E45" s="15">
        <v>0</v>
      </c>
      <c r="F45" s="15">
        <v>2</v>
      </c>
      <c r="G45" s="15">
        <v>0</v>
      </c>
      <c r="H45" s="15">
        <v>0</v>
      </c>
      <c r="I45" s="15">
        <v>0</v>
      </c>
      <c r="J45" s="15">
        <v>0</v>
      </c>
      <c r="K45" s="16">
        <f t="shared" si="0"/>
        <v>2</v>
      </c>
      <c r="L45" s="11">
        <f>(K45/K8)</f>
        <v>0.05</v>
      </c>
    </row>
    <row r="46" spans="1:12" ht="27.75" x14ac:dyDescent="0.2">
      <c r="A46" s="5">
        <v>38</v>
      </c>
      <c r="B46" s="12" t="s">
        <v>90</v>
      </c>
      <c r="C46" s="17" t="s">
        <v>91</v>
      </c>
      <c r="D46" s="14">
        <v>2</v>
      </c>
      <c r="E46" s="15">
        <v>1</v>
      </c>
      <c r="F46" s="15">
        <v>0</v>
      </c>
      <c r="G46" s="15">
        <v>1</v>
      </c>
      <c r="H46" s="15">
        <v>0</v>
      </c>
      <c r="I46" s="15">
        <v>0</v>
      </c>
      <c r="J46" s="15">
        <v>0</v>
      </c>
      <c r="K46" s="16">
        <f t="shared" si="0"/>
        <v>4</v>
      </c>
      <c r="L46" s="11">
        <f>(K46/K8)</f>
        <v>0.1</v>
      </c>
    </row>
    <row r="47" spans="1:12" ht="15" x14ac:dyDescent="0.15">
      <c r="A47" s="5">
        <v>39</v>
      </c>
      <c r="B47" s="6" t="s">
        <v>92</v>
      </c>
      <c r="C47" s="7" t="s">
        <v>93</v>
      </c>
      <c r="D47" s="14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6">
        <f t="shared" si="0"/>
        <v>0</v>
      </c>
      <c r="L47" s="11">
        <f>(K47/K8)</f>
        <v>0</v>
      </c>
    </row>
    <row r="48" spans="1:12" ht="15" x14ac:dyDescent="0.15">
      <c r="A48" s="5">
        <v>40</v>
      </c>
      <c r="B48" s="12" t="s">
        <v>94</v>
      </c>
      <c r="C48" s="13" t="s">
        <v>95</v>
      </c>
      <c r="D48" s="14">
        <v>0</v>
      </c>
      <c r="E48" s="15">
        <v>0</v>
      </c>
      <c r="F48" s="15">
        <v>0</v>
      </c>
      <c r="G48" s="15">
        <v>0</v>
      </c>
      <c r="H48" s="15">
        <v>0</v>
      </c>
      <c r="I48" s="15">
        <v>1</v>
      </c>
      <c r="J48" s="15">
        <v>0</v>
      </c>
      <c r="K48" s="16">
        <f t="shared" si="0"/>
        <v>1</v>
      </c>
      <c r="L48" s="11">
        <f>(K48/K8)</f>
        <v>2.5000000000000001E-2</v>
      </c>
    </row>
    <row r="49" spans="1:12" ht="15" x14ac:dyDescent="0.15">
      <c r="A49" s="5">
        <v>41</v>
      </c>
      <c r="B49" s="6" t="s">
        <v>96</v>
      </c>
      <c r="C49" s="7" t="s">
        <v>97</v>
      </c>
      <c r="D49" s="14">
        <v>2</v>
      </c>
      <c r="E49" s="15">
        <v>1</v>
      </c>
      <c r="F49" s="15">
        <v>0</v>
      </c>
      <c r="G49" s="15">
        <v>1</v>
      </c>
      <c r="H49" s="15">
        <v>0</v>
      </c>
      <c r="I49" s="15">
        <v>0</v>
      </c>
      <c r="J49" s="15">
        <v>0</v>
      </c>
      <c r="K49" s="16">
        <f t="shared" si="0"/>
        <v>4</v>
      </c>
      <c r="L49" s="11">
        <f>(K49/K8)</f>
        <v>0.1</v>
      </c>
    </row>
    <row r="50" spans="1:12" ht="15" x14ac:dyDescent="0.15">
      <c r="A50" s="5">
        <v>42</v>
      </c>
      <c r="B50" s="12" t="s">
        <v>98</v>
      </c>
      <c r="C50" s="13" t="s">
        <v>99</v>
      </c>
      <c r="D50" s="14">
        <v>8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6">
        <f t="shared" si="0"/>
        <v>8</v>
      </c>
      <c r="L50" s="11">
        <f>(K50/K8)</f>
        <v>0.2</v>
      </c>
    </row>
    <row r="51" spans="1:12" ht="15" x14ac:dyDescent="0.15">
      <c r="A51" s="5">
        <v>43</v>
      </c>
      <c r="B51" s="6" t="s">
        <v>100</v>
      </c>
      <c r="C51" s="7" t="s">
        <v>101</v>
      </c>
      <c r="D51" s="14">
        <v>8</v>
      </c>
      <c r="E51" s="15">
        <v>4</v>
      </c>
      <c r="F51" s="15">
        <v>2</v>
      </c>
      <c r="G51" s="15">
        <v>5</v>
      </c>
      <c r="H51" s="15">
        <v>5</v>
      </c>
      <c r="I51" s="15">
        <v>2</v>
      </c>
      <c r="J51" s="15">
        <v>1</v>
      </c>
      <c r="K51" s="16">
        <f t="shared" si="0"/>
        <v>27</v>
      </c>
      <c r="L51" s="11">
        <f>(K51/K8)</f>
        <v>0.67500000000000004</v>
      </c>
    </row>
    <row r="52" spans="1:12" ht="15" x14ac:dyDescent="0.15">
      <c r="A52" s="5">
        <v>44</v>
      </c>
      <c r="B52" s="12" t="s">
        <v>102</v>
      </c>
      <c r="C52" s="13" t="s">
        <v>103</v>
      </c>
      <c r="D52" s="14">
        <v>5</v>
      </c>
      <c r="E52" s="15">
        <v>1</v>
      </c>
      <c r="F52" s="15">
        <v>0</v>
      </c>
      <c r="G52" s="15">
        <v>0</v>
      </c>
      <c r="H52" s="15">
        <v>0</v>
      </c>
      <c r="I52" s="15">
        <v>1</v>
      </c>
      <c r="J52" s="15">
        <v>0</v>
      </c>
      <c r="K52" s="16">
        <f t="shared" si="0"/>
        <v>7</v>
      </c>
      <c r="L52" s="11">
        <f>(K52/K8)</f>
        <v>0.17499999999999999</v>
      </c>
    </row>
    <row r="53" spans="1:12" ht="15" x14ac:dyDescent="0.15">
      <c r="A53" s="5">
        <v>45</v>
      </c>
      <c r="B53" s="6" t="s">
        <v>104</v>
      </c>
      <c r="C53" s="7" t="s">
        <v>105</v>
      </c>
      <c r="D53" s="14">
        <v>6</v>
      </c>
      <c r="E53" s="15">
        <v>2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6">
        <f t="shared" si="0"/>
        <v>8</v>
      </c>
      <c r="L53" s="11">
        <f>(K53/K8)</f>
        <v>0.2</v>
      </c>
    </row>
    <row r="54" spans="1:12" ht="15" x14ac:dyDescent="0.15">
      <c r="A54" s="5">
        <v>46</v>
      </c>
      <c r="B54" s="12" t="s">
        <v>106</v>
      </c>
      <c r="C54" s="13" t="s">
        <v>107</v>
      </c>
      <c r="D54" s="14">
        <v>7</v>
      </c>
      <c r="E54" s="15">
        <v>3</v>
      </c>
      <c r="F54" s="15">
        <v>2</v>
      </c>
      <c r="G54" s="15">
        <v>3</v>
      </c>
      <c r="H54" s="15">
        <v>3</v>
      </c>
      <c r="I54" s="15">
        <v>1</v>
      </c>
      <c r="J54" s="15">
        <v>1</v>
      </c>
      <c r="K54" s="16">
        <f t="shared" si="0"/>
        <v>20</v>
      </c>
      <c r="L54" s="11">
        <f>(K54/K8)</f>
        <v>0.5</v>
      </c>
    </row>
    <row r="55" spans="1:12" ht="15" x14ac:dyDescent="0.15">
      <c r="A55" s="5">
        <v>47</v>
      </c>
      <c r="B55" s="6" t="s">
        <v>108</v>
      </c>
      <c r="C55" s="7" t="s">
        <v>109</v>
      </c>
      <c r="D55" s="14">
        <v>3</v>
      </c>
      <c r="E55" s="15">
        <v>2</v>
      </c>
      <c r="F55" s="15">
        <v>0</v>
      </c>
      <c r="G55" s="15">
        <v>2</v>
      </c>
      <c r="H55" s="15">
        <v>0</v>
      </c>
      <c r="I55" s="15">
        <v>1</v>
      </c>
      <c r="J55" s="15">
        <v>0</v>
      </c>
      <c r="K55" s="16">
        <f t="shared" si="0"/>
        <v>8</v>
      </c>
      <c r="L55" s="11">
        <f>(K55/K8)</f>
        <v>0.2</v>
      </c>
    </row>
    <row r="56" spans="1:12" ht="15" x14ac:dyDescent="0.15">
      <c r="A56" s="5">
        <v>48</v>
      </c>
      <c r="B56" s="12" t="s">
        <v>110</v>
      </c>
      <c r="C56" s="13" t="s">
        <v>111</v>
      </c>
      <c r="D56" s="14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6">
        <f t="shared" si="0"/>
        <v>0</v>
      </c>
      <c r="L56" s="11">
        <f>(K56/K8)</f>
        <v>0</v>
      </c>
    </row>
    <row r="57" spans="1:12" ht="15" x14ac:dyDescent="0.15">
      <c r="A57" s="5">
        <v>49</v>
      </c>
      <c r="B57" s="6" t="s">
        <v>112</v>
      </c>
      <c r="C57" s="7" t="s">
        <v>113</v>
      </c>
      <c r="D57" s="14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6">
        <f t="shared" si="0"/>
        <v>0</v>
      </c>
      <c r="L57" s="11">
        <f>(K57/K8)</f>
        <v>0</v>
      </c>
    </row>
    <row r="58" spans="1:12" ht="15" x14ac:dyDescent="0.15">
      <c r="A58" s="5">
        <v>50</v>
      </c>
      <c r="B58" s="12" t="s">
        <v>114</v>
      </c>
      <c r="C58" s="13" t="s">
        <v>115</v>
      </c>
      <c r="D58" s="14">
        <v>4</v>
      </c>
      <c r="E58" s="15">
        <v>1</v>
      </c>
      <c r="F58" s="15">
        <v>0</v>
      </c>
      <c r="G58" s="15">
        <v>1</v>
      </c>
      <c r="H58" s="15">
        <v>0</v>
      </c>
      <c r="I58" s="15">
        <v>0</v>
      </c>
      <c r="J58" s="15">
        <v>0</v>
      </c>
      <c r="K58" s="16">
        <f t="shared" si="0"/>
        <v>6</v>
      </c>
      <c r="L58" s="11">
        <f>(K58/K8)</f>
        <v>0.15</v>
      </c>
    </row>
    <row r="59" spans="1:12" ht="15" x14ac:dyDescent="0.15">
      <c r="A59" s="5">
        <v>51</v>
      </c>
      <c r="B59" s="6" t="s">
        <v>116</v>
      </c>
      <c r="C59" s="7" t="s">
        <v>117</v>
      </c>
      <c r="D59" s="14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6">
        <f t="shared" si="0"/>
        <v>0</v>
      </c>
      <c r="L59" s="11">
        <f>(K59/K8)</f>
        <v>0</v>
      </c>
    </row>
    <row r="60" spans="1:12" ht="15" x14ac:dyDescent="0.15">
      <c r="A60" s="5">
        <v>52</v>
      </c>
      <c r="B60" s="12" t="s">
        <v>118</v>
      </c>
      <c r="C60" s="13" t="s">
        <v>119</v>
      </c>
      <c r="D60" s="14">
        <v>8</v>
      </c>
      <c r="E60" s="15">
        <v>2</v>
      </c>
      <c r="F60" s="15">
        <v>0</v>
      </c>
      <c r="G60" s="15">
        <v>2</v>
      </c>
      <c r="H60" s="15">
        <v>2</v>
      </c>
      <c r="I60" s="15">
        <v>1</v>
      </c>
      <c r="J60" s="15">
        <v>0</v>
      </c>
      <c r="K60" s="16">
        <f t="shared" si="0"/>
        <v>15</v>
      </c>
      <c r="L60" s="11">
        <f>(K60/K8)</f>
        <v>0.375</v>
      </c>
    </row>
    <row r="61" spans="1:12" ht="15" x14ac:dyDescent="0.15">
      <c r="A61" s="5">
        <v>53</v>
      </c>
      <c r="B61" s="6" t="s">
        <v>120</v>
      </c>
      <c r="C61" s="7" t="s">
        <v>121</v>
      </c>
      <c r="D61" s="14">
        <v>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6">
        <f t="shared" si="0"/>
        <v>5</v>
      </c>
      <c r="L61" s="11">
        <f>(K61/K8)</f>
        <v>0.125</v>
      </c>
    </row>
    <row r="62" spans="1:12" ht="15" x14ac:dyDescent="0.15">
      <c r="A62" s="5">
        <v>54</v>
      </c>
      <c r="B62" s="12" t="s">
        <v>122</v>
      </c>
      <c r="C62" s="13" t="s">
        <v>123</v>
      </c>
      <c r="D62" s="14">
        <v>3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6">
        <f t="shared" si="0"/>
        <v>3</v>
      </c>
      <c r="L62" s="11">
        <f>(K62/K8)</f>
        <v>7.4999999999999997E-2</v>
      </c>
    </row>
    <row r="63" spans="1:12" ht="15" x14ac:dyDescent="0.15">
      <c r="A63" s="5">
        <v>55</v>
      </c>
      <c r="B63" s="6" t="s">
        <v>124</v>
      </c>
      <c r="C63" s="7" t="s">
        <v>125</v>
      </c>
      <c r="D63" s="14">
        <v>8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1</v>
      </c>
      <c r="K63" s="16">
        <f t="shared" si="0"/>
        <v>9</v>
      </c>
      <c r="L63" s="11">
        <f>(K63/K8)</f>
        <v>0.22500000000000001</v>
      </c>
    </row>
    <row r="64" spans="1:12" ht="15" x14ac:dyDescent="0.15">
      <c r="A64" s="5">
        <v>56</v>
      </c>
      <c r="B64" s="12" t="s">
        <v>126</v>
      </c>
      <c r="C64" s="13" t="s">
        <v>127</v>
      </c>
      <c r="D64" s="14">
        <v>7</v>
      </c>
      <c r="E64" s="15">
        <v>3</v>
      </c>
      <c r="F64" s="15">
        <v>2</v>
      </c>
      <c r="G64" s="15">
        <v>3</v>
      </c>
      <c r="H64" s="15">
        <v>1</v>
      </c>
      <c r="I64" s="15">
        <v>1</v>
      </c>
      <c r="J64" s="15">
        <v>0</v>
      </c>
      <c r="K64" s="16">
        <f t="shared" si="0"/>
        <v>17</v>
      </c>
      <c r="L64" s="11">
        <f>(K64/K8)</f>
        <v>0.42499999999999999</v>
      </c>
    </row>
    <row r="65" spans="1:12" ht="15" x14ac:dyDescent="0.15">
      <c r="A65" s="5">
        <v>57</v>
      </c>
      <c r="B65" s="6" t="s">
        <v>128</v>
      </c>
      <c r="C65" s="7" t="s">
        <v>129</v>
      </c>
      <c r="D65" s="18">
        <v>9</v>
      </c>
      <c r="E65" s="19">
        <v>0</v>
      </c>
      <c r="F65" s="19">
        <v>2</v>
      </c>
      <c r="G65" s="19">
        <v>3</v>
      </c>
      <c r="H65" s="19">
        <v>3</v>
      </c>
      <c r="I65" s="19">
        <v>1</v>
      </c>
      <c r="J65" s="19">
        <v>2</v>
      </c>
      <c r="K65" s="20">
        <f t="shared" si="0"/>
        <v>20</v>
      </c>
      <c r="L65" s="11">
        <f>(K65/K8)</f>
        <v>0.5</v>
      </c>
    </row>
    <row r="66" spans="1:12" ht="67.5" x14ac:dyDescent="0.15">
      <c r="A66" s="109" t="s">
        <v>130</v>
      </c>
      <c r="B66" s="96"/>
      <c r="C66" s="110"/>
      <c r="D66" s="21" t="s">
        <v>131</v>
      </c>
      <c r="E66" s="22" t="s">
        <v>132</v>
      </c>
      <c r="F66" s="23" t="s">
        <v>133</v>
      </c>
      <c r="G66" s="22" t="s">
        <v>134</v>
      </c>
      <c r="H66" s="24" t="s">
        <v>135</v>
      </c>
      <c r="I66" s="25" t="s">
        <v>136</v>
      </c>
      <c r="J66" s="24" t="s">
        <v>137</v>
      </c>
      <c r="K66" s="26"/>
      <c r="L66" s="27"/>
    </row>
    <row r="67" spans="1:12" ht="12.75" x14ac:dyDescent="0.15">
      <c r="A67" s="111"/>
      <c r="B67" s="107"/>
      <c r="C67" s="107"/>
      <c r="D67" s="92"/>
      <c r="E67" s="86"/>
      <c r="F67" s="108"/>
      <c r="G67" s="108"/>
      <c r="H67" s="108"/>
      <c r="I67" s="108"/>
      <c r="J67" s="87"/>
      <c r="K67" s="86"/>
      <c r="L67" s="87"/>
    </row>
    <row r="68" spans="1:12" ht="12.75" x14ac:dyDescent="0.15">
      <c r="A68" s="88"/>
      <c r="B68" s="108"/>
      <c r="C68" s="108"/>
      <c r="D68" s="87"/>
      <c r="E68" s="88"/>
      <c r="F68" s="108"/>
      <c r="G68" s="108"/>
      <c r="H68" s="108"/>
      <c r="I68" s="108"/>
      <c r="J68" s="87"/>
      <c r="K68" s="88"/>
      <c r="L68" s="87"/>
    </row>
    <row r="69" spans="1:12" ht="12.75" x14ac:dyDescent="0.15">
      <c r="A69" s="88"/>
      <c r="B69" s="108"/>
      <c r="C69" s="108"/>
      <c r="D69" s="87"/>
      <c r="E69" s="88"/>
      <c r="F69" s="108"/>
      <c r="G69" s="108"/>
      <c r="H69" s="108"/>
      <c r="I69" s="108"/>
      <c r="J69" s="87"/>
      <c r="K69" s="88"/>
      <c r="L69" s="87"/>
    </row>
    <row r="70" spans="1:12" ht="12.75" x14ac:dyDescent="0.15">
      <c r="A70" s="89"/>
      <c r="B70" s="94"/>
      <c r="C70" s="94"/>
      <c r="D70" s="90"/>
      <c r="E70" s="89"/>
      <c r="F70" s="94"/>
      <c r="G70" s="94"/>
      <c r="H70" s="94"/>
      <c r="I70" s="94"/>
      <c r="J70" s="90"/>
      <c r="K70" s="89"/>
      <c r="L70" s="90"/>
    </row>
    <row r="71" spans="1:12" ht="12.75" x14ac:dyDescent="0.15">
      <c r="A71" s="106" t="s">
        <v>138</v>
      </c>
      <c r="B71" s="107"/>
      <c r="C71" s="107"/>
      <c r="D71" s="92"/>
      <c r="E71" s="106" t="s">
        <v>139</v>
      </c>
      <c r="F71" s="107"/>
      <c r="G71" s="107"/>
      <c r="H71" s="107"/>
      <c r="I71" s="107"/>
      <c r="J71" s="92"/>
      <c r="K71" s="91" t="s">
        <v>140</v>
      </c>
      <c r="L71" s="92"/>
    </row>
    <row r="72" spans="1:12" ht="12.75" x14ac:dyDescent="0.15">
      <c r="A72" s="88"/>
      <c r="B72" s="108"/>
      <c r="C72" s="108"/>
      <c r="D72" s="87"/>
      <c r="E72" s="88"/>
      <c r="F72" s="108"/>
      <c r="G72" s="108"/>
      <c r="H72" s="108"/>
      <c r="I72" s="108"/>
      <c r="J72" s="87"/>
      <c r="K72" s="88"/>
      <c r="L72" s="87"/>
    </row>
    <row r="73" spans="1:12" ht="12.75" x14ac:dyDescent="0.15">
      <c r="A73" s="88"/>
      <c r="B73" s="108"/>
      <c r="C73" s="108"/>
      <c r="D73" s="87"/>
      <c r="E73" s="88"/>
      <c r="F73" s="108"/>
      <c r="G73" s="108"/>
      <c r="H73" s="108"/>
      <c r="I73" s="108"/>
      <c r="J73" s="87"/>
      <c r="K73" s="88"/>
      <c r="L73" s="87"/>
    </row>
    <row r="74" spans="1:12" ht="12.75" x14ac:dyDescent="0.15">
      <c r="A74" s="89"/>
      <c r="B74" s="94"/>
      <c r="C74" s="94"/>
      <c r="D74" s="90"/>
      <c r="E74" s="89"/>
      <c r="F74" s="94"/>
      <c r="G74" s="94"/>
      <c r="H74" s="94"/>
      <c r="I74" s="94"/>
      <c r="J74" s="90"/>
      <c r="K74" s="89"/>
      <c r="L74" s="90"/>
    </row>
  </sheetData>
  <mergeCells count="22">
    <mergeCell ref="J4:J7"/>
    <mergeCell ref="E4:E7"/>
    <mergeCell ref="F4:F7"/>
    <mergeCell ref="A66:C66"/>
    <mergeCell ref="A67:D70"/>
    <mergeCell ref="E67:J70"/>
    <mergeCell ref="K4:K6"/>
    <mergeCell ref="L4:L6"/>
    <mergeCell ref="K67:L70"/>
    <mergeCell ref="K71:L74"/>
    <mergeCell ref="A1:L1"/>
    <mergeCell ref="A2:L2"/>
    <mergeCell ref="A3:L3"/>
    <mergeCell ref="A4:A8"/>
    <mergeCell ref="B4:B8"/>
    <mergeCell ref="C4:C8"/>
    <mergeCell ref="D4:D7"/>
    <mergeCell ref="A71:D74"/>
    <mergeCell ref="E71:J74"/>
    <mergeCell ref="G4:G7"/>
    <mergeCell ref="H4:H7"/>
    <mergeCell ref="I4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74"/>
  <sheetViews>
    <sheetView topLeftCell="G4" workbookViewId="0">
      <selection sqref="A1:M1"/>
    </sheetView>
  </sheetViews>
  <sheetFormatPr defaultColWidth="12.5390625" defaultRowHeight="15.75" customHeight="1" x14ac:dyDescent="0.15"/>
  <cols>
    <col min="3" max="3" width="24.13671875" customWidth="1"/>
    <col min="7" max="7" width="14.83203125" customWidth="1"/>
    <col min="10" max="10" width="14.29296875" customWidth="1"/>
  </cols>
  <sheetData>
    <row r="1" spans="1:15" ht="25.5" x14ac:dyDescent="0.3">
      <c r="A1" s="11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5" ht="25.5" x14ac:dyDescent="0.3">
      <c r="A2" s="95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5.5" x14ac:dyDescent="0.3">
      <c r="A3" s="95" t="s">
        <v>141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5" ht="12.75" x14ac:dyDescent="0.15">
      <c r="A4" s="97" t="s">
        <v>3</v>
      </c>
      <c r="B4" s="100" t="s">
        <v>4</v>
      </c>
      <c r="C4" s="100" t="s">
        <v>5</v>
      </c>
      <c r="D4" s="114" t="s">
        <v>142</v>
      </c>
      <c r="E4" s="103" t="s">
        <v>6</v>
      </c>
      <c r="F4" s="103" t="s">
        <v>7</v>
      </c>
      <c r="G4" s="103" t="s">
        <v>143</v>
      </c>
      <c r="H4" s="103" t="s">
        <v>9</v>
      </c>
      <c r="I4" s="103" t="s">
        <v>10</v>
      </c>
      <c r="J4" s="103" t="s">
        <v>11</v>
      </c>
      <c r="K4" s="103" t="s">
        <v>12</v>
      </c>
      <c r="L4" s="80" t="s">
        <v>13</v>
      </c>
      <c r="M4" s="83" t="s">
        <v>14</v>
      </c>
      <c r="N4" s="112" t="s">
        <v>144</v>
      </c>
    </row>
    <row r="5" spans="1:15" ht="12.75" x14ac:dyDescent="0.15">
      <c r="A5" s="98"/>
      <c r="B5" s="101"/>
      <c r="C5" s="101"/>
      <c r="D5" s="104"/>
      <c r="E5" s="104"/>
      <c r="F5" s="104"/>
      <c r="G5" s="104"/>
      <c r="H5" s="104"/>
      <c r="I5" s="104"/>
      <c r="J5" s="104"/>
      <c r="K5" s="104"/>
      <c r="L5" s="81"/>
      <c r="M5" s="84"/>
      <c r="N5" s="108"/>
    </row>
    <row r="6" spans="1:15" ht="12.75" x14ac:dyDescent="0.15">
      <c r="A6" s="98"/>
      <c r="B6" s="101"/>
      <c r="C6" s="101"/>
      <c r="D6" s="104"/>
      <c r="E6" s="104"/>
      <c r="F6" s="104"/>
      <c r="G6" s="104"/>
      <c r="H6" s="104"/>
      <c r="I6" s="104"/>
      <c r="J6" s="104"/>
      <c r="K6" s="104"/>
      <c r="L6" s="82"/>
      <c r="M6" s="85"/>
      <c r="N6" s="108"/>
    </row>
    <row r="7" spans="1:15" ht="1.5" customHeight="1" x14ac:dyDescent="0.15">
      <c r="A7" s="98"/>
      <c r="B7" s="101"/>
      <c r="C7" s="101"/>
      <c r="D7" s="104"/>
      <c r="E7" s="105"/>
      <c r="F7" s="105"/>
      <c r="G7" s="105"/>
      <c r="H7" s="105"/>
      <c r="I7" s="105"/>
      <c r="J7" s="105"/>
      <c r="K7" s="105"/>
      <c r="L7" s="1">
        <f>SUM(E7:K7)</f>
        <v>0</v>
      </c>
      <c r="M7" s="2" t="s">
        <v>15</v>
      </c>
    </row>
    <row r="8" spans="1:15" ht="14.25" x14ac:dyDescent="0.15">
      <c r="A8" s="99"/>
      <c r="B8" s="102"/>
      <c r="C8" s="102"/>
      <c r="D8" s="105"/>
      <c r="E8" s="29">
        <v>5</v>
      </c>
      <c r="F8" s="30">
        <v>9</v>
      </c>
      <c r="G8" s="30">
        <v>4</v>
      </c>
      <c r="H8" s="30">
        <v>5</v>
      </c>
      <c r="I8" s="30">
        <v>9</v>
      </c>
      <c r="J8" s="30">
        <v>10</v>
      </c>
      <c r="K8" s="3">
        <v>3</v>
      </c>
      <c r="L8" s="31">
        <f>SUM(E8:K8)</f>
        <v>45</v>
      </c>
      <c r="M8" s="31"/>
      <c r="N8" s="28">
        <f>L8+'Feb 2025'!K8</f>
        <v>85</v>
      </c>
    </row>
    <row r="9" spans="1:15" ht="15" x14ac:dyDescent="0.15">
      <c r="A9" s="5">
        <v>1</v>
      </c>
      <c r="B9" s="6" t="s">
        <v>16</v>
      </c>
      <c r="C9" s="6" t="s">
        <v>17</v>
      </c>
      <c r="D9" s="15">
        <v>5</v>
      </c>
      <c r="E9" s="32">
        <v>0</v>
      </c>
      <c r="F9" s="33">
        <v>1</v>
      </c>
      <c r="G9" s="34">
        <v>0</v>
      </c>
      <c r="H9" s="34">
        <v>0</v>
      </c>
      <c r="I9" s="35">
        <v>3</v>
      </c>
      <c r="J9" s="36">
        <v>2</v>
      </c>
      <c r="K9" s="9">
        <v>0</v>
      </c>
      <c r="L9" s="37">
        <f t="shared" ref="L9:L65" si="0">SUM(D9:K9)</f>
        <v>11</v>
      </c>
      <c r="M9" s="38">
        <f>(L9/L8)*100</f>
        <v>24.444444444444443</v>
      </c>
      <c r="N9" s="28">
        <f>L9+'Feb 2025'!K9</f>
        <v>19</v>
      </c>
      <c r="O9" s="39">
        <f>N9/N8</f>
        <v>0.22352941176470589</v>
      </c>
    </row>
    <row r="10" spans="1:15" ht="15" x14ac:dyDescent="0.15">
      <c r="A10" s="5">
        <v>2</v>
      </c>
      <c r="B10" s="12" t="s">
        <v>18</v>
      </c>
      <c r="C10" s="12" t="s">
        <v>19</v>
      </c>
      <c r="D10" s="15">
        <v>7</v>
      </c>
      <c r="E10" s="15">
        <v>2</v>
      </c>
      <c r="F10" s="40">
        <v>3</v>
      </c>
      <c r="G10" s="14">
        <v>2</v>
      </c>
      <c r="H10" s="14">
        <v>0</v>
      </c>
      <c r="I10" s="41">
        <v>4</v>
      </c>
      <c r="J10" s="42">
        <v>2</v>
      </c>
      <c r="K10" s="15">
        <v>1</v>
      </c>
      <c r="L10" s="37">
        <f t="shared" si="0"/>
        <v>21</v>
      </c>
      <c r="M10" s="43">
        <f>(L10/L8)*100</f>
        <v>46.666666666666664</v>
      </c>
      <c r="N10" s="28">
        <f>L10+'Feb 2025'!K10</f>
        <v>27</v>
      </c>
      <c r="O10" s="39">
        <f>N10/N8</f>
        <v>0.31764705882352939</v>
      </c>
    </row>
    <row r="11" spans="1:15" ht="15" x14ac:dyDescent="0.15">
      <c r="A11" s="5">
        <v>3</v>
      </c>
      <c r="B11" s="6" t="s">
        <v>20</v>
      </c>
      <c r="C11" s="6" t="s">
        <v>21</v>
      </c>
      <c r="D11" s="15">
        <v>0</v>
      </c>
      <c r="E11" s="15">
        <v>1</v>
      </c>
      <c r="F11" s="40">
        <v>3</v>
      </c>
      <c r="G11" s="14">
        <v>0</v>
      </c>
      <c r="H11" s="14">
        <v>3</v>
      </c>
      <c r="I11" s="41">
        <v>5</v>
      </c>
      <c r="J11" s="42">
        <v>4</v>
      </c>
      <c r="K11" s="15">
        <v>3</v>
      </c>
      <c r="L11" s="37">
        <f t="shared" si="0"/>
        <v>19</v>
      </c>
      <c r="M11" s="43">
        <f>(L11/L8)*100</f>
        <v>42.222222222222221</v>
      </c>
      <c r="N11" s="28">
        <f>L11+'Feb 2025'!K11</f>
        <v>25</v>
      </c>
      <c r="O11" s="39">
        <f>N11/N8</f>
        <v>0.29411764705882354</v>
      </c>
    </row>
    <row r="12" spans="1:15" ht="15" x14ac:dyDescent="0.15">
      <c r="A12" s="5">
        <v>4</v>
      </c>
      <c r="B12" s="12" t="s">
        <v>22</v>
      </c>
      <c r="C12" s="12" t="s">
        <v>23</v>
      </c>
      <c r="D12" s="15">
        <v>0</v>
      </c>
      <c r="E12" s="15">
        <v>0</v>
      </c>
      <c r="F12" s="40">
        <v>0</v>
      </c>
      <c r="G12" s="14">
        <v>0</v>
      </c>
      <c r="H12" s="14">
        <v>0</v>
      </c>
      <c r="I12" s="41">
        <v>0</v>
      </c>
      <c r="J12" s="42">
        <v>0</v>
      </c>
      <c r="K12" s="15">
        <v>0</v>
      </c>
      <c r="L12" s="37">
        <f t="shared" si="0"/>
        <v>0</v>
      </c>
      <c r="M12" s="43">
        <f>(L12/L8)*100</f>
        <v>0</v>
      </c>
      <c r="N12" s="28">
        <f>L12+'Feb 2025'!K12</f>
        <v>0</v>
      </c>
      <c r="O12" s="39">
        <f>M12/N8</f>
        <v>0</v>
      </c>
    </row>
    <row r="13" spans="1:15" ht="15" x14ac:dyDescent="0.15">
      <c r="A13" s="5">
        <v>5</v>
      </c>
      <c r="B13" s="6" t="s">
        <v>24</v>
      </c>
      <c r="C13" s="6" t="s">
        <v>25</v>
      </c>
      <c r="D13" s="15">
        <v>0</v>
      </c>
      <c r="E13" s="15">
        <v>2</v>
      </c>
      <c r="F13" s="40">
        <v>6</v>
      </c>
      <c r="G13" s="14">
        <v>0</v>
      </c>
      <c r="H13" s="14">
        <v>4</v>
      </c>
      <c r="I13" s="41">
        <v>6</v>
      </c>
      <c r="J13" s="42">
        <v>2</v>
      </c>
      <c r="K13" s="15">
        <v>1</v>
      </c>
      <c r="L13" s="37">
        <f t="shared" si="0"/>
        <v>21</v>
      </c>
      <c r="M13" s="43">
        <f>(L13/L8)*100</f>
        <v>46.666666666666664</v>
      </c>
      <c r="N13" s="28">
        <f>L13+'Feb 2025'!K13</f>
        <v>42</v>
      </c>
      <c r="O13" s="39">
        <f>M13/N8</f>
        <v>0.54901960784313719</v>
      </c>
    </row>
    <row r="14" spans="1:15" ht="15" x14ac:dyDescent="0.15">
      <c r="A14" s="5">
        <v>6</v>
      </c>
      <c r="B14" s="12" t="s">
        <v>26</v>
      </c>
      <c r="C14" s="12" t="s">
        <v>27</v>
      </c>
      <c r="D14" s="15">
        <v>0</v>
      </c>
      <c r="E14" s="15">
        <v>1</v>
      </c>
      <c r="F14" s="40">
        <v>0</v>
      </c>
      <c r="G14" s="14">
        <v>0</v>
      </c>
      <c r="H14" s="14">
        <v>0</v>
      </c>
      <c r="I14" s="41">
        <v>4</v>
      </c>
      <c r="J14" s="42">
        <v>0</v>
      </c>
      <c r="K14" s="15">
        <v>1</v>
      </c>
      <c r="L14" s="37">
        <f t="shared" si="0"/>
        <v>6</v>
      </c>
      <c r="M14" s="43">
        <f>(L14/L8)*100</f>
        <v>13.333333333333334</v>
      </c>
      <c r="N14" s="28">
        <f>L14+'Feb 2025'!K14</f>
        <v>11</v>
      </c>
      <c r="O14" s="39">
        <f>M14/N8</f>
        <v>0.15686274509803921</v>
      </c>
    </row>
    <row r="15" spans="1:15" ht="15" x14ac:dyDescent="0.15">
      <c r="A15" s="5">
        <v>7</v>
      </c>
      <c r="B15" s="6" t="s">
        <v>28</v>
      </c>
      <c r="C15" s="6" t="s">
        <v>29</v>
      </c>
      <c r="D15" s="15">
        <v>0</v>
      </c>
      <c r="E15" s="15">
        <v>4</v>
      </c>
      <c r="F15" s="40">
        <v>4</v>
      </c>
      <c r="G15" s="14">
        <v>0</v>
      </c>
      <c r="H15" s="14">
        <v>2</v>
      </c>
      <c r="I15" s="41">
        <v>5</v>
      </c>
      <c r="J15" s="42">
        <v>4</v>
      </c>
      <c r="K15" s="15">
        <v>2</v>
      </c>
      <c r="L15" s="37">
        <f t="shared" si="0"/>
        <v>21</v>
      </c>
      <c r="M15" s="43">
        <f>(L15/L8)*100</f>
        <v>46.666666666666664</v>
      </c>
      <c r="N15" s="28">
        <f>L15+'Feb 2025'!K15</f>
        <v>32</v>
      </c>
      <c r="O15" s="39">
        <f>N15/N8</f>
        <v>0.37647058823529411</v>
      </c>
    </row>
    <row r="16" spans="1:15" ht="15" x14ac:dyDescent="0.15">
      <c r="A16" s="5">
        <v>8</v>
      </c>
      <c r="B16" s="12" t="s">
        <v>30</v>
      </c>
      <c r="C16" s="12" t="s">
        <v>31</v>
      </c>
      <c r="D16" s="15">
        <v>7</v>
      </c>
      <c r="E16" s="15">
        <v>3</v>
      </c>
      <c r="F16" s="40">
        <v>2</v>
      </c>
      <c r="G16" s="14">
        <v>2</v>
      </c>
      <c r="H16" s="14">
        <v>2</v>
      </c>
      <c r="I16" s="41">
        <v>5</v>
      </c>
      <c r="J16" s="42">
        <v>8</v>
      </c>
      <c r="K16" s="15">
        <v>1</v>
      </c>
      <c r="L16" s="37">
        <f t="shared" si="0"/>
        <v>30</v>
      </c>
      <c r="M16" s="43">
        <f>(L16/L8)*100</f>
        <v>66.666666666666657</v>
      </c>
      <c r="N16" s="28">
        <f>L16+'Feb 2025'!K16</f>
        <v>55</v>
      </c>
      <c r="O16" s="39">
        <f>N16/N8</f>
        <v>0.6470588235294118</v>
      </c>
    </row>
    <row r="17" spans="1:15" ht="15" x14ac:dyDescent="0.15">
      <c r="A17" s="5">
        <v>9</v>
      </c>
      <c r="B17" s="6" t="s">
        <v>32</v>
      </c>
      <c r="C17" s="6" t="s">
        <v>33</v>
      </c>
      <c r="D17" s="15">
        <v>0</v>
      </c>
      <c r="E17" s="15">
        <v>4</v>
      </c>
      <c r="F17" s="40">
        <v>3</v>
      </c>
      <c r="G17" s="14">
        <v>0</v>
      </c>
      <c r="H17" s="14">
        <v>4</v>
      </c>
      <c r="I17" s="41">
        <v>2</v>
      </c>
      <c r="J17" s="42">
        <v>4</v>
      </c>
      <c r="K17" s="15">
        <v>1</v>
      </c>
      <c r="L17" s="37">
        <f t="shared" si="0"/>
        <v>18</v>
      </c>
      <c r="M17" s="43">
        <f>(L17/L8)*100</f>
        <v>40</v>
      </c>
      <c r="N17" s="28">
        <f>L17+'Feb 2025'!K17</f>
        <v>24</v>
      </c>
      <c r="O17" s="39">
        <f>N17/N8</f>
        <v>0.28235294117647058</v>
      </c>
    </row>
    <row r="18" spans="1:15" ht="15" x14ac:dyDescent="0.15">
      <c r="A18" s="5">
        <v>10</v>
      </c>
      <c r="B18" s="12" t="s">
        <v>34</v>
      </c>
      <c r="C18" s="12" t="s">
        <v>35</v>
      </c>
      <c r="D18" s="15">
        <v>7</v>
      </c>
      <c r="E18" s="15">
        <v>1</v>
      </c>
      <c r="F18" s="40">
        <v>0</v>
      </c>
      <c r="G18" s="14">
        <v>0</v>
      </c>
      <c r="H18" s="14">
        <v>0</v>
      </c>
      <c r="I18" s="41">
        <v>0</v>
      </c>
      <c r="J18" s="42">
        <v>0</v>
      </c>
      <c r="K18" s="15">
        <v>0</v>
      </c>
      <c r="L18" s="37">
        <f t="shared" si="0"/>
        <v>8</v>
      </c>
      <c r="M18" s="43">
        <f>(L18/L8)*100</f>
        <v>17.777777777777779</v>
      </c>
      <c r="N18" s="28">
        <f>L18+'Feb 2025'!K18</f>
        <v>10</v>
      </c>
      <c r="O18" s="39">
        <f>N18/N8</f>
        <v>0.11764705882352941</v>
      </c>
    </row>
    <row r="19" spans="1:15" ht="15" x14ac:dyDescent="0.15">
      <c r="A19" s="5">
        <v>11</v>
      </c>
      <c r="B19" s="6" t="s">
        <v>36</v>
      </c>
      <c r="C19" s="6" t="s">
        <v>37</v>
      </c>
      <c r="D19" s="15">
        <v>0</v>
      </c>
      <c r="E19" s="15">
        <v>3</v>
      </c>
      <c r="F19" s="40">
        <v>3</v>
      </c>
      <c r="G19" s="14">
        <v>0</v>
      </c>
      <c r="H19" s="14">
        <v>2</v>
      </c>
      <c r="I19" s="41">
        <v>6</v>
      </c>
      <c r="J19" s="42">
        <v>0</v>
      </c>
      <c r="K19" s="15">
        <v>0</v>
      </c>
      <c r="L19" s="37">
        <f t="shared" si="0"/>
        <v>14</v>
      </c>
      <c r="M19" s="43">
        <f>(L19/L8)*100</f>
        <v>31.111111111111111</v>
      </c>
      <c r="N19" s="28">
        <f>L19+'Feb 2025'!K19</f>
        <v>39</v>
      </c>
      <c r="O19" s="39">
        <f>N19/N8</f>
        <v>0.45882352941176469</v>
      </c>
    </row>
    <row r="20" spans="1:15" ht="15" x14ac:dyDescent="0.15">
      <c r="A20" s="5">
        <v>12</v>
      </c>
      <c r="B20" s="12" t="s">
        <v>38</v>
      </c>
      <c r="C20" s="12" t="s">
        <v>39</v>
      </c>
      <c r="D20" s="15">
        <v>7</v>
      </c>
      <c r="E20" s="15">
        <v>3</v>
      </c>
      <c r="F20" s="40">
        <v>2</v>
      </c>
      <c r="G20" s="14">
        <v>2</v>
      </c>
      <c r="H20" s="14">
        <v>2</v>
      </c>
      <c r="I20" s="41">
        <v>6</v>
      </c>
      <c r="J20" s="42">
        <v>4</v>
      </c>
      <c r="K20" s="15">
        <v>1</v>
      </c>
      <c r="L20" s="37">
        <f t="shared" si="0"/>
        <v>27</v>
      </c>
      <c r="M20" s="43">
        <f>(L20/L8)*100</f>
        <v>60</v>
      </c>
      <c r="N20" s="28">
        <f>L20+'Feb 2025'!K20</f>
        <v>53</v>
      </c>
      <c r="O20" s="39">
        <f>N20/N8</f>
        <v>0.62352941176470589</v>
      </c>
    </row>
    <row r="21" spans="1:15" ht="15" x14ac:dyDescent="0.15">
      <c r="A21" s="5">
        <v>13</v>
      </c>
      <c r="B21" s="6" t="s">
        <v>40</v>
      </c>
      <c r="C21" s="6" t="s">
        <v>41</v>
      </c>
      <c r="D21" s="15">
        <v>0</v>
      </c>
      <c r="E21" s="15">
        <v>3</v>
      </c>
      <c r="F21" s="40">
        <v>3</v>
      </c>
      <c r="G21" s="14">
        <v>0</v>
      </c>
      <c r="H21" s="14">
        <v>3</v>
      </c>
      <c r="I21" s="41">
        <v>6</v>
      </c>
      <c r="J21" s="42">
        <v>2</v>
      </c>
      <c r="K21" s="15">
        <v>0</v>
      </c>
      <c r="L21" s="37">
        <f t="shared" si="0"/>
        <v>17</v>
      </c>
      <c r="M21" s="43">
        <f>(L21/L8)*100</f>
        <v>37.777777777777779</v>
      </c>
      <c r="N21" s="28">
        <f>L21+'Feb 2025'!K21</f>
        <v>42</v>
      </c>
      <c r="O21" s="39">
        <f>N21/N8</f>
        <v>0.49411764705882355</v>
      </c>
    </row>
    <row r="22" spans="1:15" ht="15" x14ac:dyDescent="0.15">
      <c r="A22" s="5">
        <v>14</v>
      </c>
      <c r="B22" s="12" t="s">
        <v>42</v>
      </c>
      <c r="C22" s="12" t="s">
        <v>43</v>
      </c>
      <c r="D22" s="15">
        <v>0</v>
      </c>
      <c r="E22" s="15">
        <v>4</v>
      </c>
      <c r="F22" s="40">
        <v>4</v>
      </c>
      <c r="G22" s="14">
        <v>0</v>
      </c>
      <c r="H22" s="14">
        <v>4</v>
      </c>
      <c r="I22" s="41">
        <v>6</v>
      </c>
      <c r="J22" s="42">
        <v>4</v>
      </c>
      <c r="K22" s="15">
        <v>0</v>
      </c>
      <c r="L22" s="37">
        <f t="shared" si="0"/>
        <v>22</v>
      </c>
      <c r="M22" s="43">
        <f>(L22/L8)*100</f>
        <v>48.888888888888886</v>
      </c>
      <c r="N22" s="28">
        <f>L22+'Feb 2025'!K22</f>
        <v>48</v>
      </c>
      <c r="O22" s="39">
        <f>N22/N8</f>
        <v>0.56470588235294117</v>
      </c>
    </row>
    <row r="23" spans="1:15" ht="15" x14ac:dyDescent="0.15">
      <c r="A23" s="5">
        <v>15</v>
      </c>
      <c r="B23" s="6" t="s">
        <v>44</v>
      </c>
      <c r="C23" s="6" t="s">
        <v>45</v>
      </c>
      <c r="D23" s="15">
        <v>0</v>
      </c>
      <c r="E23" s="15">
        <v>0</v>
      </c>
      <c r="F23" s="40">
        <v>0</v>
      </c>
      <c r="G23" s="14">
        <v>0</v>
      </c>
      <c r="H23" s="14">
        <v>0</v>
      </c>
      <c r="I23" s="41">
        <v>0</v>
      </c>
      <c r="J23" s="42">
        <v>0</v>
      </c>
      <c r="K23" s="15">
        <v>0</v>
      </c>
      <c r="L23" s="37">
        <f t="shared" si="0"/>
        <v>0</v>
      </c>
      <c r="M23" s="43">
        <f>(L23/L8)*100</f>
        <v>0</v>
      </c>
      <c r="N23" s="28">
        <f>L23+'Feb 2025'!K23</f>
        <v>0</v>
      </c>
      <c r="O23" s="39">
        <f>N23/N8</f>
        <v>0</v>
      </c>
    </row>
    <row r="24" spans="1:15" ht="15" x14ac:dyDescent="0.15">
      <c r="A24" s="5">
        <v>16</v>
      </c>
      <c r="B24" s="12" t="s">
        <v>46</v>
      </c>
      <c r="C24" s="12" t="s">
        <v>47</v>
      </c>
      <c r="D24" s="15">
        <v>0</v>
      </c>
      <c r="E24" s="15">
        <v>0</v>
      </c>
      <c r="F24" s="40">
        <v>0</v>
      </c>
      <c r="G24" s="14">
        <v>0</v>
      </c>
      <c r="H24" s="14">
        <v>0</v>
      </c>
      <c r="I24" s="41">
        <v>2</v>
      </c>
      <c r="J24" s="42">
        <v>0</v>
      </c>
      <c r="K24" s="15">
        <v>0</v>
      </c>
      <c r="L24" s="37">
        <f t="shared" si="0"/>
        <v>2</v>
      </c>
      <c r="M24" s="43">
        <f>(L24/L8)*100</f>
        <v>4.4444444444444446</v>
      </c>
      <c r="N24" s="28">
        <f>L24+'Feb 2025'!K24</f>
        <v>2</v>
      </c>
      <c r="O24" s="39">
        <f>N24/N8</f>
        <v>2.3529411764705882E-2</v>
      </c>
    </row>
    <row r="25" spans="1:15" ht="15" x14ac:dyDescent="0.15">
      <c r="A25" s="5">
        <v>17</v>
      </c>
      <c r="B25" s="6" t="s">
        <v>48</v>
      </c>
      <c r="C25" s="6" t="s">
        <v>49</v>
      </c>
      <c r="D25" s="15">
        <v>0</v>
      </c>
      <c r="E25" s="15">
        <v>1</v>
      </c>
      <c r="F25" s="40">
        <v>3</v>
      </c>
      <c r="G25" s="14">
        <v>0</v>
      </c>
      <c r="H25" s="14">
        <v>3</v>
      </c>
      <c r="I25" s="41">
        <v>4</v>
      </c>
      <c r="J25" s="42">
        <v>0</v>
      </c>
      <c r="K25" s="15">
        <v>0</v>
      </c>
      <c r="L25" s="37">
        <f t="shared" si="0"/>
        <v>11</v>
      </c>
      <c r="M25" s="43">
        <f>(L25/L8)*100</f>
        <v>24.444444444444443</v>
      </c>
      <c r="N25" s="28">
        <f>L25+'Feb 2025'!K25</f>
        <v>15</v>
      </c>
      <c r="O25" s="39">
        <f>N25/N8</f>
        <v>0.17647058823529413</v>
      </c>
    </row>
    <row r="26" spans="1:15" ht="15" x14ac:dyDescent="0.15">
      <c r="A26" s="5">
        <v>18</v>
      </c>
      <c r="B26" s="12" t="s">
        <v>50</v>
      </c>
      <c r="C26" s="12" t="s">
        <v>51</v>
      </c>
      <c r="D26" s="15">
        <v>0</v>
      </c>
      <c r="E26" s="15">
        <v>3</v>
      </c>
      <c r="F26" s="40">
        <v>6</v>
      </c>
      <c r="G26" s="14">
        <v>0</v>
      </c>
      <c r="H26" s="14">
        <v>3</v>
      </c>
      <c r="I26" s="41">
        <v>6</v>
      </c>
      <c r="J26" s="42">
        <v>3</v>
      </c>
      <c r="K26" s="15">
        <v>2</v>
      </c>
      <c r="L26" s="37">
        <f t="shared" si="0"/>
        <v>23</v>
      </c>
      <c r="M26" s="43">
        <f>(L26/L8)*100</f>
        <v>51.111111111111107</v>
      </c>
      <c r="N26" s="28">
        <f>L26+'Feb 2025'!K26</f>
        <v>38</v>
      </c>
      <c r="O26" s="39">
        <f>N26/N8</f>
        <v>0.44705882352941179</v>
      </c>
    </row>
    <row r="27" spans="1:15" ht="15" x14ac:dyDescent="0.15">
      <c r="A27" s="5">
        <v>19</v>
      </c>
      <c r="B27" s="6" t="s">
        <v>52</v>
      </c>
      <c r="C27" s="6" t="s">
        <v>53</v>
      </c>
      <c r="D27" s="15">
        <v>0</v>
      </c>
      <c r="E27" s="15">
        <v>3</v>
      </c>
      <c r="F27" s="40">
        <v>4</v>
      </c>
      <c r="G27" s="14">
        <v>0</v>
      </c>
      <c r="H27" s="14">
        <v>2</v>
      </c>
      <c r="I27" s="41">
        <v>5</v>
      </c>
      <c r="J27" s="42">
        <v>3</v>
      </c>
      <c r="K27" s="15">
        <v>3</v>
      </c>
      <c r="L27" s="37">
        <f t="shared" si="0"/>
        <v>20</v>
      </c>
      <c r="M27" s="43">
        <f>(L27/L8)*100</f>
        <v>44.444444444444443</v>
      </c>
      <c r="N27" s="28">
        <f>L27+'Feb 2025'!K27</f>
        <v>28</v>
      </c>
      <c r="O27" s="39">
        <f>N27/N8</f>
        <v>0.32941176470588235</v>
      </c>
    </row>
    <row r="28" spans="1:15" ht="15" x14ac:dyDescent="0.15">
      <c r="A28" s="5">
        <v>20</v>
      </c>
      <c r="B28" s="12" t="s">
        <v>54</v>
      </c>
      <c r="C28" s="12" t="s">
        <v>55</v>
      </c>
      <c r="D28" s="15">
        <v>0</v>
      </c>
      <c r="E28" s="15">
        <v>5</v>
      </c>
      <c r="F28" s="40">
        <v>6</v>
      </c>
      <c r="G28" s="14">
        <v>0</v>
      </c>
      <c r="H28" s="14">
        <v>4</v>
      </c>
      <c r="I28" s="41">
        <v>5</v>
      </c>
      <c r="J28" s="42">
        <v>4</v>
      </c>
      <c r="K28" s="15">
        <v>3</v>
      </c>
      <c r="L28" s="37">
        <f t="shared" si="0"/>
        <v>27</v>
      </c>
      <c r="M28" s="43">
        <f>(L28/L8)*100</f>
        <v>60</v>
      </c>
      <c r="N28" s="28">
        <f>L28+'Feb 2025'!K28</f>
        <v>40</v>
      </c>
      <c r="O28" s="39">
        <f>N28/N8</f>
        <v>0.47058823529411764</v>
      </c>
    </row>
    <row r="29" spans="1:15" ht="15" x14ac:dyDescent="0.15">
      <c r="A29" s="5">
        <v>21</v>
      </c>
      <c r="B29" s="6" t="s">
        <v>56</v>
      </c>
      <c r="C29" s="6" t="s">
        <v>57</v>
      </c>
      <c r="D29" s="15">
        <v>0</v>
      </c>
      <c r="E29" s="15">
        <v>2</v>
      </c>
      <c r="F29" s="40">
        <v>3</v>
      </c>
      <c r="G29" s="14">
        <v>0</v>
      </c>
      <c r="H29" s="14">
        <v>0</v>
      </c>
      <c r="I29" s="41">
        <v>6</v>
      </c>
      <c r="J29" s="42">
        <v>3</v>
      </c>
      <c r="K29" s="15">
        <v>0</v>
      </c>
      <c r="L29" s="37">
        <f t="shared" si="0"/>
        <v>14</v>
      </c>
      <c r="M29" s="43">
        <f>(L29/L8)*100</f>
        <v>31.111111111111111</v>
      </c>
      <c r="N29" s="28">
        <f>L29+'Feb 2025'!K29</f>
        <v>27</v>
      </c>
      <c r="O29" s="39">
        <f>N29/N8</f>
        <v>0.31764705882352939</v>
      </c>
    </row>
    <row r="30" spans="1:15" ht="15" x14ac:dyDescent="0.15">
      <c r="A30" s="5">
        <v>22</v>
      </c>
      <c r="B30" s="12" t="s">
        <v>58</v>
      </c>
      <c r="C30" s="12" t="s">
        <v>59</v>
      </c>
      <c r="D30" s="15">
        <v>7</v>
      </c>
      <c r="E30" s="15">
        <v>4</v>
      </c>
      <c r="F30" s="40">
        <v>4</v>
      </c>
      <c r="G30" s="14">
        <v>2</v>
      </c>
      <c r="H30" s="14">
        <v>2</v>
      </c>
      <c r="I30" s="41">
        <v>5</v>
      </c>
      <c r="J30" s="42">
        <v>3</v>
      </c>
      <c r="K30" s="15">
        <v>1</v>
      </c>
      <c r="L30" s="37">
        <f t="shared" si="0"/>
        <v>28</v>
      </c>
      <c r="M30" s="43">
        <f>(L30/L8)*100</f>
        <v>62.222222222222221</v>
      </c>
      <c r="N30" s="28">
        <f>L30+'Feb 2025'!K30</f>
        <v>42</v>
      </c>
      <c r="O30" s="39">
        <f>N30/N8</f>
        <v>0.49411764705882355</v>
      </c>
    </row>
    <row r="31" spans="1:15" ht="15" x14ac:dyDescent="0.15">
      <c r="A31" s="5">
        <v>23</v>
      </c>
      <c r="B31" s="6" t="s">
        <v>60</v>
      </c>
      <c r="C31" s="6" t="s">
        <v>61</v>
      </c>
      <c r="D31" s="15">
        <v>0</v>
      </c>
      <c r="E31" s="15">
        <v>0</v>
      </c>
      <c r="F31" s="40">
        <v>0</v>
      </c>
      <c r="G31" s="14">
        <v>0</v>
      </c>
      <c r="H31" s="14">
        <v>0</v>
      </c>
      <c r="I31" s="41">
        <v>0</v>
      </c>
      <c r="J31" s="42">
        <v>0</v>
      </c>
      <c r="K31" s="15">
        <v>0</v>
      </c>
      <c r="L31" s="37">
        <f t="shared" si="0"/>
        <v>0</v>
      </c>
      <c r="M31" s="43">
        <f>(L31/L8)*100</f>
        <v>0</v>
      </c>
      <c r="N31" s="28">
        <f>L31+'Feb 2025'!K31</f>
        <v>0</v>
      </c>
      <c r="O31" s="39">
        <f>N31/N8</f>
        <v>0</v>
      </c>
    </row>
    <row r="32" spans="1:15" ht="15" x14ac:dyDescent="0.15">
      <c r="A32" s="5">
        <v>24</v>
      </c>
      <c r="B32" s="12" t="s">
        <v>62</v>
      </c>
      <c r="C32" s="12" t="s">
        <v>63</v>
      </c>
      <c r="D32" s="15">
        <v>7</v>
      </c>
      <c r="E32" s="15">
        <v>4</v>
      </c>
      <c r="F32" s="40">
        <v>5</v>
      </c>
      <c r="G32" s="14">
        <v>2</v>
      </c>
      <c r="H32" s="14">
        <v>0</v>
      </c>
      <c r="I32" s="41">
        <v>6</v>
      </c>
      <c r="J32" s="42">
        <v>6</v>
      </c>
      <c r="K32" s="15">
        <v>3</v>
      </c>
      <c r="L32" s="37">
        <f t="shared" si="0"/>
        <v>33</v>
      </c>
      <c r="M32" s="43">
        <f>(L32/L8)*100</f>
        <v>73.333333333333329</v>
      </c>
      <c r="N32" s="28">
        <f>L32+'Feb 2025'!K32</f>
        <v>55</v>
      </c>
      <c r="O32" s="39">
        <f>N32/N8</f>
        <v>0.6470588235294118</v>
      </c>
    </row>
    <row r="33" spans="1:15" ht="15" x14ac:dyDescent="0.15">
      <c r="A33" s="5">
        <v>25</v>
      </c>
      <c r="B33" s="6" t="s">
        <v>64</v>
      </c>
      <c r="C33" s="6" t="s">
        <v>65</v>
      </c>
      <c r="D33" s="15">
        <v>0</v>
      </c>
      <c r="E33" s="15">
        <v>0</v>
      </c>
      <c r="F33" s="40">
        <v>0</v>
      </c>
      <c r="G33" s="14">
        <v>0</v>
      </c>
      <c r="H33" s="14">
        <v>0</v>
      </c>
      <c r="I33" s="41">
        <v>0</v>
      </c>
      <c r="J33" s="42">
        <v>0</v>
      </c>
      <c r="K33" s="15">
        <v>1</v>
      </c>
      <c r="L33" s="37">
        <f t="shared" si="0"/>
        <v>1</v>
      </c>
      <c r="M33" s="43">
        <f>(L33/L8)*100</f>
        <v>2.2222222222222223</v>
      </c>
      <c r="N33" s="28">
        <f>L33+'Feb 2025'!K33</f>
        <v>1</v>
      </c>
      <c r="O33" s="39">
        <f>N33/N8</f>
        <v>1.1764705882352941E-2</v>
      </c>
    </row>
    <row r="34" spans="1:15" ht="15" x14ac:dyDescent="0.15">
      <c r="A34" s="5">
        <v>26</v>
      </c>
      <c r="B34" s="12" t="s">
        <v>66</v>
      </c>
      <c r="C34" s="12" t="s">
        <v>67</v>
      </c>
      <c r="D34" s="15">
        <v>7</v>
      </c>
      <c r="E34" s="15">
        <v>1</v>
      </c>
      <c r="F34" s="40">
        <v>1</v>
      </c>
      <c r="G34" s="14">
        <v>0</v>
      </c>
      <c r="H34" s="14">
        <v>0</v>
      </c>
      <c r="I34" s="41">
        <v>4</v>
      </c>
      <c r="J34" s="42">
        <v>2</v>
      </c>
      <c r="K34" s="15">
        <v>0</v>
      </c>
      <c r="L34" s="37">
        <f t="shared" si="0"/>
        <v>15</v>
      </c>
      <c r="M34" s="43">
        <f>(L34/L8)*100</f>
        <v>33.333333333333329</v>
      </c>
      <c r="N34" s="28">
        <f>L34+'Feb 2025'!K34</f>
        <v>20</v>
      </c>
      <c r="O34" s="39">
        <f>N34/N8</f>
        <v>0.23529411764705882</v>
      </c>
    </row>
    <row r="35" spans="1:15" ht="15" x14ac:dyDescent="0.15">
      <c r="A35" s="5">
        <v>27</v>
      </c>
      <c r="B35" s="6" t="s">
        <v>68</v>
      </c>
      <c r="C35" s="6" t="s">
        <v>69</v>
      </c>
      <c r="D35" s="15">
        <v>7</v>
      </c>
      <c r="E35" s="15">
        <v>3</v>
      </c>
      <c r="F35" s="40">
        <v>0</v>
      </c>
      <c r="G35" s="14">
        <v>2</v>
      </c>
      <c r="H35" s="14">
        <v>0</v>
      </c>
      <c r="I35" s="41">
        <v>4</v>
      </c>
      <c r="J35" s="42">
        <v>5</v>
      </c>
      <c r="K35" s="15">
        <v>0</v>
      </c>
      <c r="L35" s="37">
        <f t="shared" si="0"/>
        <v>21</v>
      </c>
      <c r="M35" s="43">
        <f>(L35/L8)*100</f>
        <v>46.666666666666664</v>
      </c>
      <c r="N35" s="28">
        <f>L35+'Feb 2025'!K35</f>
        <v>43</v>
      </c>
      <c r="O35" s="39">
        <f>N35/N8</f>
        <v>0.50588235294117645</v>
      </c>
    </row>
    <row r="36" spans="1:15" ht="15" x14ac:dyDescent="0.15">
      <c r="A36" s="5">
        <v>28</v>
      </c>
      <c r="B36" s="12" t="s">
        <v>70</v>
      </c>
      <c r="C36" s="12" t="s">
        <v>71</v>
      </c>
      <c r="D36" s="15">
        <v>0</v>
      </c>
      <c r="E36" s="15">
        <v>3</v>
      </c>
      <c r="F36" s="40">
        <v>2</v>
      </c>
      <c r="G36" s="14">
        <v>0</v>
      </c>
      <c r="H36" s="14">
        <v>2</v>
      </c>
      <c r="I36" s="41">
        <v>4</v>
      </c>
      <c r="J36" s="42">
        <v>3</v>
      </c>
      <c r="K36" s="15">
        <v>1</v>
      </c>
      <c r="L36" s="37">
        <f t="shared" si="0"/>
        <v>15</v>
      </c>
      <c r="M36" s="43">
        <f>(L36/L8)*100</f>
        <v>33.333333333333329</v>
      </c>
      <c r="N36" s="28">
        <f>L36+'Feb 2025'!K36</f>
        <v>25</v>
      </c>
      <c r="O36" s="39">
        <f>N36/N8</f>
        <v>0.29411764705882354</v>
      </c>
    </row>
    <row r="37" spans="1:15" ht="15" x14ac:dyDescent="0.15">
      <c r="A37" s="5">
        <v>29</v>
      </c>
      <c r="B37" s="6" t="s">
        <v>72</v>
      </c>
      <c r="C37" s="6" t="s">
        <v>73</v>
      </c>
      <c r="D37" s="15">
        <v>7</v>
      </c>
      <c r="E37" s="15">
        <v>2</v>
      </c>
      <c r="F37" s="40">
        <v>2</v>
      </c>
      <c r="G37" s="14">
        <v>2</v>
      </c>
      <c r="H37" s="14">
        <v>0</v>
      </c>
      <c r="I37" s="41">
        <v>3</v>
      </c>
      <c r="J37" s="42">
        <v>2</v>
      </c>
      <c r="K37" s="15">
        <v>1</v>
      </c>
      <c r="L37" s="37">
        <f t="shared" si="0"/>
        <v>19</v>
      </c>
      <c r="M37" s="43">
        <f>(L37/L8)*100</f>
        <v>42.222222222222221</v>
      </c>
      <c r="N37" s="28">
        <f>L37+'Feb 2025'!K37</f>
        <v>27</v>
      </c>
      <c r="O37" s="39">
        <f>N37/N8</f>
        <v>0.31764705882352939</v>
      </c>
    </row>
    <row r="38" spans="1:15" ht="15" x14ac:dyDescent="0.15">
      <c r="A38" s="5">
        <v>30</v>
      </c>
      <c r="B38" s="12" t="s">
        <v>74</v>
      </c>
      <c r="C38" s="12" t="s">
        <v>75</v>
      </c>
      <c r="D38" s="15">
        <v>7</v>
      </c>
      <c r="E38" s="15">
        <v>3</v>
      </c>
      <c r="F38" s="40">
        <v>4</v>
      </c>
      <c r="G38" s="14">
        <v>2</v>
      </c>
      <c r="H38" s="14">
        <v>2</v>
      </c>
      <c r="I38" s="41">
        <v>5</v>
      </c>
      <c r="J38" s="42">
        <v>3</v>
      </c>
      <c r="K38" s="15">
        <v>1</v>
      </c>
      <c r="L38" s="37">
        <f t="shared" si="0"/>
        <v>27</v>
      </c>
      <c r="M38" s="43">
        <f>(L38/L8)*100</f>
        <v>60</v>
      </c>
      <c r="N38" s="28">
        <f>L38+'Feb 2025'!K38</f>
        <v>38</v>
      </c>
      <c r="O38" s="39">
        <f>N38/N8</f>
        <v>0.44705882352941179</v>
      </c>
    </row>
    <row r="39" spans="1:15" ht="15" x14ac:dyDescent="0.15">
      <c r="A39" s="5">
        <v>31</v>
      </c>
      <c r="B39" s="6" t="s">
        <v>76</v>
      </c>
      <c r="C39" s="6" t="s">
        <v>77</v>
      </c>
      <c r="D39" s="15">
        <v>4</v>
      </c>
      <c r="E39" s="15">
        <v>2</v>
      </c>
      <c r="F39" s="40">
        <v>1</v>
      </c>
      <c r="G39" s="14">
        <v>0</v>
      </c>
      <c r="H39" s="14">
        <v>0</v>
      </c>
      <c r="I39" s="41">
        <v>3</v>
      </c>
      <c r="J39" s="42">
        <v>4</v>
      </c>
      <c r="K39" s="15">
        <v>1</v>
      </c>
      <c r="L39" s="37">
        <f t="shared" si="0"/>
        <v>15</v>
      </c>
      <c r="M39" s="43">
        <f>(L39/L8)*100</f>
        <v>33.333333333333329</v>
      </c>
      <c r="N39" s="28">
        <f>L39+'Feb 2025'!K39</f>
        <v>29</v>
      </c>
      <c r="O39" s="39">
        <f>N39/N8</f>
        <v>0.3411764705882353</v>
      </c>
    </row>
    <row r="40" spans="1:15" ht="15" x14ac:dyDescent="0.15">
      <c r="A40" s="5">
        <v>32</v>
      </c>
      <c r="B40" s="12" t="s">
        <v>78</v>
      </c>
      <c r="C40" s="12" t="s">
        <v>79</v>
      </c>
      <c r="D40" s="15">
        <v>7</v>
      </c>
      <c r="E40" s="15">
        <v>2</v>
      </c>
      <c r="F40" s="40">
        <v>2</v>
      </c>
      <c r="G40" s="14">
        <v>2</v>
      </c>
      <c r="H40" s="14">
        <v>0</v>
      </c>
      <c r="I40" s="41">
        <v>5</v>
      </c>
      <c r="J40" s="42">
        <v>3</v>
      </c>
      <c r="K40" s="15">
        <v>1</v>
      </c>
      <c r="L40" s="37">
        <f t="shared" si="0"/>
        <v>22</v>
      </c>
      <c r="M40" s="43">
        <f>(L40/L8)*100</f>
        <v>48.888888888888886</v>
      </c>
      <c r="N40" s="28">
        <f>L40+'Feb 2025'!K40</f>
        <v>29</v>
      </c>
      <c r="O40" s="39">
        <f>N40/N8</f>
        <v>0.3411764705882353</v>
      </c>
    </row>
    <row r="41" spans="1:15" ht="15" x14ac:dyDescent="0.15">
      <c r="A41" s="5">
        <v>33</v>
      </c>
      <c r="B41" s="6" t="s">
        <v>80</v>
      </c>
      <c r="C41" s="6" t="s">
        <v>81</v>
      </c>
      <c r="D41" s="15">
        <v>0</v>
      </c>
      <c r="E41" s="15">
        <v>0</v>
      </c>
      <c r="F41" s="40">
        <v>0</v>
      </c>
      <c r="G41" s="14">
        <v>0</v>
      </c>
      <c r="H41" s="14">
        <v>0</v>
      </c>
      <c r="I41" s="41">
        <v>0</v>
      </c>
      <c r="J41" s="42">
        <v>0</v>
      </c>
      <c r="K41" s="15">
        <v>0</v>
      </c>
      <c r="L41" s="37">
        <f t="shared" si="0"/>
        <v>0</v>
      </c>
      <c r="M41" s="43">
        <f>(L41/L8)*100</f>
        <v>0</v>
      </c>
      <c r="N41" s="28">
        <f>L41+'Feb 2025'!K41</f>
        <v>6</v>
      </c>
      <c r="O41" s="39">
        <f>N41/N8</f>
        <v>7.0588235294117646E-2</v>
      </c>
    </row>
    <row r="42" spans="1:15" ht="15" x14ac:dyDescent="0.15">
      <c r="A42" s="5">
        <v>34</v>
      </c>
      <c r="B42" s="12" t="s">
        <v>82</v>
      </c>
      <c r="C42" s="12" t="s">
        <v>83</v>
      </c>
      <c r="D42" s="15">
        <v>4</v>
      </c>
      <c r="E42" s="15">
        <v>0</v>
      </c>
      <c r="F42" s="40">
        <v>1</v>
      </c>
      <c r="G42" s="14">
        <v>0</v>
      </c>
      <c r="H42" s="14">
        <v>0</v>
      </c>
      <c r="I42" s="41">
        <v>4</v>
      </c>
      <c r="J42" s="42">
        <v>3</v>
      </c>
      <c r="K42" s="15">
        <v>1</v>
      </c>
      <c r="L42" s="37">
        <f t="shared" si="0"/>
        <v>13</v>
      </c>
      <c r="M42" s="43">
        <f>(L42/L8)*100</f>
        <v>28.888888888888886</v>
      </c>
      <c r="N42" s="28">
        <f>L42+'Feb 2025'!K42</f>
        <v>16</v>
      </c>
      <c r="O42" s="39">
        <f>N42/N8</f>
        <v>0.18823529411764706</v>
      </c>
    </row>
    <row r="43" spans="1:15" ht="15" x14ac:dyDescent="0.15">
      <c r="A43" s="5">
        <v>35</v>
      </c>
      <c r="B43" s="6" t="s">
        <v>84</v>
      </c>
      <c r="C43" s="6" t="s">
        <v>85</v>
      </c>
      <c r="D43" s="15">
        <v>0</v>
      </c>
      <c r="E43" s="15">
        <v>0</v>
      </c>
      <c r="F43" s="40">
        <v>0</v>
      </c>
      <c r="G43" s="14">
        <v>0</v>
      </c>
      <c r="H43" s="14">
        <v>0</v>
      </c>
      <c r="I43" s="41">
        <v>1</v>
      </c>
      <c r="J43" s="42">
        <v>0</v>
      </c>
      <c r="K43" s="15">
        <v>0</v>
      </c>
      <c r="L43" s="37">
        <f t="shared" si="0"/>
        <v>1</v>
      </c>
      <c r="M43" s="43">
        <f>(L43/L8)*100</f>
        <v>2.2222222222222223</v>
      </c>
      <c r="N43" s="28">
        <f>L43+'Feb 2025'!K43</f>
        <v>1</v>
      </c>
      <c r="O43" s="39">
        <f>N43/N8</f>
        <v>1.1764705882352941E-2</v>
      </c>
    </row>
    <row r="44" spans="1:15" ht="15" x14ac:dyDescent="0.15">
      <c r="A44" s="5">
        <v>36</v>
      </c>
      <c r="B44" s="12" t="s">
        <v>86</v>
      </c>
      <c r="C44" s="12" t="s">
        <v>87</v>
      </c>
      <c r="D44" s="15">
        <v>0</v>
      </c>
      <c r="E44" s="15">
        <v>0</v>
      </c>
      <c r="F44" s="40">
        <v>0</v>
      </c>
      <c r="G44" s="14">
        <v>0</v>
      </c>
      <c r="H44" s="14">
        <v>0</v>
      </c>
      <c r="I44" s="41">
        <v>0</v>
      </c>
      <c r="J44" s="42">
        <v>0</v>
      </c>
      <c r="K44" s="15">
        <v>0</v>
      </c>
      <c r="L44" s="37">
        <f t="shared" si="0"/>
        <v>0</v>
      </c>
      <c r="M44" s="43">
        <f>(L44/L8)*100</f>
        <v>0</v>
      </c>
      <c r="N44" s="28">
        <f>L44+'Feb 2025'!K44</f>
        <v>0</v>
      </c>
      <c r="O44" s="39">
        <f>N44/N8</f>
        <v>0</v>
      </c>
    </row>
    <row r="45" spans="1:15" ht="15" x14ac:dyDescent="0.15">
      <c r="A45" s="5">
        <v>37</v>
      </c>
      <c r="B45" s="6" t="s">
        <v>88</v>
      </c>
      <c r="C45" s="6" t="s">
        <v>89</v>
      </c>
      <c r="D45" s="15">
        <v>7</v>
      </c>
      <c r="E45" s="15">
        <v>0</v>
      </c>
      <c r="F45" s="40">
        <v>3</v>
      </c>
      <c r="G45" s="14">
        <v>2</v>
      </c>
      <c r="H45" s="14">
        <v>0</v>
      </c>
      <c r="I45" s="41">
        <v>4</v>
      </c>
      <c r="J45" s="42">
        <v>0</v>
      </c>
      <c r="K45" s="15">
        <v>0</v>
      </c>
      <c r="L45" s="37">
        <f t="shared" si="0"/>
        <v>16</v>
      </c>
      <c r="M45" s="43">
        <f>(L45/L8)*100</f>
        <v>35.555555555555557</v>
      </c>
      <c r="N45" s="28">
        <f>L45+'Feb 2025'!K45</f>
        <v>18</v>
      </c>
      <c r="O45" s="39">
        <f>N45/N8</f>
        <v>0.21176470588235294</v>
      </c>
    </row>
    <row r="46" spans="1:15" ht="27.75" x14ac:dyDescent="0.2">
      <c r="A46" s="5">
        <v>38</v>
      </c>
      <c r="B46" s="12" t="s">
        <v>90</v>
      </c>
      <c r="C46" s="44" t="s">
        <v>91</v>
      </c>
      <c r="D46" s="15">
        <v>7</v>
      </c>
      <c r="E46" s="15">
        <v>1</v>
      </c>
      <c r="F46" s="40">
        <v>0</v>
      </c>
      <c r="G46" s="14">
        <v>0</v>
      </c>
      <c r="H46" s="14">
        <v>0</v>
      </c>
      <c r="I46" s="41">
        <v>1</v>
      </c>
      <c r="J46" s="42">
        <v>0</v>
      </c>
      <c r="K46" s="15">
        <v>0</v>
      </c>
      <c r="L46" s="37">
        <f t="shared" si="0"/>
        <v>9</v>
      </c>
      <c r="M46" s="43">
        <f>(L46/L8)*100</f>
        <v>20</v>
      </c>
      <c r="N46" s="28">
        <f>L46+'Feb 2025'!K46</f>
        <v>13</v>
      </c>
      <c r="O46" s="39">
        <f>N46/N8</f>
        <v>0.15294117647058825</v>
      </c>
    </row>
    <row r="47" spans="1:15" ht="15" x14ac:dyDescent="0.15">
      <c r="A47" s="5">
        <v>39</v>
      </c>
      <c r="B47" s="6" t="s">
        <v>92</v>
      </c>
      <c r="C47" s="6" t="s">
        <v>93</v>
      </c>
      <c r="D47" s="15">
        <v>0</v>
      </c>
      <c r="E47" s="15">
        <v>0</v>
      </c>
      <c r="F47" s="40">
        <v>0</v>
      </c>
      <c r="G47" s="14">
        <v>0</v>
      </c>
      <c r="H47" s="14">
        <v>0</v>
      </c>
      <c r="I47" s="41">
        <v>1</v>
      </c>
      <c r="J47" s="42">
        <v>0</v>
      </c>
      <c r="K47" s="15">
        <v>0</v>
      </c>
      <c r="L47" s="37">
        <f t="shared" si="0"/>
        <v>1</v>
      </c>
      <c r="M47" s="43">
        <f>(L47/L8)*100</f>
        <v>2.2222222222222223</v>
      </c>
      <c r="N47" s="28">
        <f>L47+'Feb 2025'!K47</f>
        <v>1</v>
      </c>
      <c r="O47" s="39">
        <f>N47/N8</f>
        <v>1.1764705882352941E-2</v>
      </c>
    </row>
    <row r="48" spans="1:15" ht="15" x14ac:dyDescent="0.15">
      <c r="A48" s="5">
        <v>40</v>
      </c>
      <c r="B48" s="12" t="s">
        <v>94</v>
      </c>
      <c r="C48" s="12" t="s">
        <v>95</v>
      </c>
      <c r="D48" s="15">
        <v>0</v>
      </c>
      <c r="E48" s="15">
        <v>0</v>
      </c>
      <c r="F48" s="40">
        <v>0</v>
      </c>
      <c r="G48" s="14">
        <v>0</v>
      </c>
      <c r="H48" s="14">
        <v>0</v>
      </c>
      <c r="I48" s="41">
        <v>0</v>
      </c>
      <c r="J48" s="42">
        <v>0</v>
      </c>
      <c r="K48" s="15">
        <v>0</v>
      </c>
      <c r="L48" s="37">
        <f t="shared" si="0"/>
        <v>0</v>
      </c>
      <c r="M48" s="43">
        <f>(L48/L8)*100</f>
        <v>0</v>
      </c>
      <c r="N48" s="28">
        <f>L48+'Feb 2025'!K48</f>
        <v>1</v>
      </c>
      <c r="O48" s="39">
        <f>N48/N8</f>
        <v>1.1764705882352941E-2</v>
      </c>
    </row>
    <row r="49" spans="1:15" ht="15" x14ac:dyDescent="0.15">
      <c r="A49" s="5">
        <v>41</v>
      </c>
      <c r="B49" s="6" t="s">
        <v>96</v>
      </c>
      <c r="C49" s="6" t="s">
        <v>97</v>
      </c>
      <c r="D49" s="15">
        <v>0</v>
      </c>
      <c r="E49" s="15">
        <v>2</v>
      </c>
      <c r="F49" s="40">
        <v>0</v>
      </c>
      <c r="G49" s="14">
        <v>0</v>
      </c>
      <c r="H49" s="14">
        <v>0</v>
      </c>
      <c r="I49" s="41">
        <v>0</v>
      </c>
      <c r="J49" s="42">
        <v>0</v>
      </c>
      <c r="K49" s="15">
        <v>0</v>
      </c>
      <c r="L49" s="37">
        <f t="shared" si="0"/>
        <v>2</v>
      </c>
      <c r="M49" s="43">
        <f>(L49/L8)*100</f>
        <v>4.4444444444444446</v>
      </c>
      <c r="N49" s="28">
        <f>L49+'Feb 2025'!K49</f>
        <v>6</v>
      </c>
      <c r="O49" s="39">
        <f>N49/N8</f>
        <v>7.0588235294117646E-2</v>
      </c>
    </row>
    <row r="50" spans="1:15" ht="15" x14ac:dyDescent="0.15">
      <c r="A50" s="5">
        <v>42</v>
      </c>
      <c r="B50" s="12" t="s">
        <v>98</v>
      </c>
      <c r="C50" s="12" t="s">
        <v>99</v>
      </c>
      <c r="D50" s="15">
        <v>7</v>
      </c>
      <c r="E50" s="15">
        <v>3</v>
      </c>
      <c r="F50" s="40">
        <v>1</v>
      </c>
      <c r="G50" s="14">
        <v>0</v>
      </c>
      <c r="H50" s="14">
        <v>0</v>
      </c>
      <c r="I50" s="41">
        <v>3</v>
      </c>
      <c r="J50" s="42">
        <v>2</v>
      </c>
      <c r="K50" s="15">
        <v>0</v>
      </c>
      <c r="L50" s="37">
        <f t="shared" si="0"/>
        <v>16</v>
      </c>
      <c r="M50" s="43">
        <f>(L50/L8)*100</f>
        <v>35.555555555555557</v>
      </c>
      <c r="N50" s="28">
        <f>L50+'Feb 2025'!K50</f>
        <v>24</v>
      </c>
      <c r="O50" s="39">
        <f>N50/N8</f>
        <v>0.28235294117647058</v>
      </c>
    </row>
    <row r="51" spans="1:15" ht="15" x14ac:dyDescent="0.15">
      <c r="A51" s="5">
        <v>43</v>
      </c>
      <c r="B51" s="6" t="s">
        <v>100</v>
      </c>
      <c r="C51" s="6" t="s">
        <v>101</v>
      </c>
      <c r="D51" s="15">
        <v>7</v>
      </c>
      <c r="E51" s="15">
        <v>2</v>
      </c>
      <c r="F51" s="40">
        <v>2</v>
      </c>
      <c r="G51" s="14">
        <v>2</v>
      </c>
      <c r="H51" s="14">
        <v>1</v>
      </c>
      <c r="I51" s="41">
        <v>5</v>
      </c>
      <c r="J51" s="42">
        <v>6</v>
      </c>
      <c r="K51" s="15">
        <v>1</v>
      </c>
      <c r="L51" s="37">
        <f t="shared" si="0"/>
        <v>26</v>
      </c>
      <c r="M51" s="43">
        <f>(L51/L8)*100</f>
        <v>57.777777777777771</v>
      </c>
      <c r="N51" s="28">
        <f>L51+'Feb 2025'!K51</f>
        <v>53</v>
      </c>
      <c r="O51" s="39">
        <f>N51/N8</f>
        <v>0.62352941176470589</v>
      </c>
    </row>
    <row r="52" spans="1:15" ht="15" x14ac:dyDescent="0.15">
      <c r="A52" s="5">
        <v>44</v>
      </c>
      <c r="B52" s="12" t="s">
        <v>102</v>
      </c>
      <c r="C52" s="12" t="s">
        <v>103</v>
      </c>
      <c r="D52" s="15">
        <v>6</v>
      </c>
      <c r="E52" s="15">
        <v>4</v>
      </c>
      <c r="F52" s="40">
        <v>3</v>
      </c>
      <c r="G52" s="14">
        <v>2</v>
      </c>
      <c r="H52" s="14">
        <v>4</v>
      </c>
      <c r="I52" s="41">
        <v>2</v>
      </c>
      <c r="J52" s="42">
        <v>5</v>
      </c>
      <c r="K52" s="15">
        <v>1</v>
      </c>
      <c r="L52" s="37">
        <f t="shared" si="0"/>
        <v>27</v>
      </c>
      <c r="M52" s="43">
        <f>(L52/L8)*100</f>
        <v>60</v>
      </c>
      <c r="N52" s="28">
        <f>L52+'Feb 2025'!K52</f>
        <v>34</v>
      </c>
      <c r="O52" s="39">
        <f>N52/N8</f>
        <v>0.4</v>
      </c>
    </row>
    <row r="53" spans="1:15" ht="15" x14ac:dyDescent="0.15">
      <c r="A53" s="5">
        <v>45</v>
      </c>
      <c r="B53" s="6" t="s">
        <v>104</v>
      </c>
      <c r="C53" s="6" t="s">
        <v>105</v>
      </c>
      <c r="D53" s="15">
        <v>7</v>
      </c>
      <c r="E53" s="15">
        <v>3</v>
      </c>
      <c r="F53" s="40">
        <v>3</v>
      </c>
      <c r="G53" s="14">
        <v>2</v>
      </c>
      <c r="H53" s="14">
        <v>2</v>
      </c>
      <c r="I53" s="41">
        <v>2</v>
      </c>
      <c r="J53" s="42">
        <v>3</v>
      </c>
      <c r="K53" s="15">
        <v>0</v>
      </c>
      <c r="L53" s="37">
        <f t="shared" si="0"/>
        <v>22</v>
      </c>
      <c r="M53" s="43">
        <f>(L53/L8)*100</f>
        <v>48.888888888888886</v>
      </c>
      <c r="N53" s="28">
        <f>L53+'Feb 2025'!K53</f>
        <v>30</v>
      </c>
      <c r="O53" s="39">
        <f>N53/N8</f>
        <v>0.35294117647058826</v>
      </c>
    </row>
    <row r="54" spans="1:15" ht="15" x14ac:dyDescent="0.15">
      <c r="A54" s="5">
        <v>46</v>
      </c>
      <c r="B54" s="12" t="s">
        <v>106</v>
      </c>
      <c r="C54" s="12" t="s">
        <v>107</v>
      </c>
      <c r="D54" s="15">
        <v>7</v>
      </c>
      <c r="E54" s="15">
        <v>3</v>
      </c>
      <c r="F54" s="40">
        <v>0</v>
      </c>
      <c r="G54" s="14">
        <v>2</v>
      </c>
      <c r="H54" s="14">
        <v>0</v>
      </c>
      <c r="I54" s="41">
        <v>4</v>
      </c>
      <c r="J54" s="42">
        <v>4</v>
      </c>
      <c r="K54" s="15">
        <v>1</v>
      </c>
      <c r="L54" s="37">
        <f t="shared" si="0"/>
        <v>21</v>
      </c>
      <c r="M54" s="43">
        <f>(L54/L8)*100</f>
        <v>46.666666666666664</v>
      </c>
      <c r="N54" s="28">
        <f>L54+'Feb 2025'!K54</f>
        <v>41</v>
      </c>
      <c r="O54" s="39">
        <f>N54/N8</f>
        <v>0.4823529411764706</v>
      </c>
    </row>
    <row r="55" spans="1:15" ht="15" x14ac:dyDescent="0.15">
      <c r="A55" s="5">
        <v>47</v>
      </c>
      <c r="B55" s="6" t="s">
        <v>108</v>
      </c>
      <c r="C55" s="6" t="s">
        <v>109</v>
      </c>
      <c r="D55" s="15">
        <v>0</v>
      </c>
      <c r="E55" s="15">
        <v>1</v>
      </c>
      <c r="F55" s="40">
        <v>0</v>
      </c>
      <c r="G55" s="14">
        <v>0</v>
      </c>
      <c r="H55" s="14">
        <v>0</v>
      </c>
      <c r="I55" s="41">
        <v>0</v>
      </c>
      <c r="J55" s="42">
        <v>0</v>
      </c>
      <c r="K55" s="15">
        <v>0</v>
      </c>
      <c r="L55" s="37">
        <f t="shared" si="0"/>
        <v>1</v>
      </c>
      <c r="M55" s="43">
        <f>(L55/L8)*100</f>
        <v>2.2222222222222223</v>
      </c>
      <c r="N55" s="28">
        <f>L55+'Feb 2025'!K55</f>
        <v>9</v>
      </c>
      <c r="O55" s="39">
        <f>N55/N8</f>
        <v>0.10588235294117647</v>
      </c>
    </row>
    <row r="56" spans="1:15" ht="15" x14ac:dyDescent="0.15">
      <c r="A56" s="5">
        <v>48</v>
      </c>
      <c r="B56" s="12" t="s">
        <v>110</v>
      </c>
      <c r="C56" s="12" t="s">
        <v>111</v>
      </c>
      <c r="D56" s="15">
        <v>0</v>
      </c>
      <c r="E56" s="15">
        <v>0</v>
      </c>
      <c r="F56" s="40">
        <v>0</v>
      </c>
      <c r="G56" s="14">
        <v>0</v>
      </c>
      <c r="H56" s="14">
        <v>0</v>
      </c>
      <c r="I56" s="41">
        <v>0</v>
      </c>
      <c r="J56" s="42">
        <v>0</v>
      </c>
      <c r="K56" s="15">
        <v>0</v>
      </c>
      <c r="L56" s="37">
        <f t="shared" si="0"/>
        <v>0</v>
      </c>
      <c r="M56" s="43">
        <f>(L56/L8)*100</f>
        <v>0</v>
      </c>
      <c r="N56" s="28">
        <f>L56+'Feb 2025'!K56</f>
        <v>0</v>
      </c>
      <c r="O56" s="39">
        <f>N56/N8</f>
        <v>0</v>
      </c>
    </row>
    <row r="57" spans="1:15" ht="15" x14ac:dyDescent="0.15">
      <c r="A57" s="5">
        <v>49</v>
      </c>
      <c r="B57" s="6" t="s">
        <v>112</v>
      </c>
      <c r="C57" s="6" t="s">
        <v>113</v>
      </c>
      <c r="D57" s="15">
        <v>0</v>
      </c>
      <c r="E57" s="15">
        <v>0</v>
      </c>
      <c r="F57" s="40">
        <v>0</v>
      </c>
      <c r="G57" s="14">
        <v>0</v>
      </c>
      <c r="H57" s="14">
        <v>0</v>
      </c>
      <c r="I57" s="41">
        <v>0</v>
      </c>
      <c r="J57" s="42">
        <v>0</v>
      </c>
      <c r="K57" s="15">
        <v>0</v>
      </c>
      <c r="L57" s="37">
        <f t="shared" si="0"/>
        <v>0</v>
      </c>
      <c r="M57" s="43">
        <f>(L57/L8)*100</f>
        <v>0</v>
      </c>
      <c r="N57" s="28">
        <f>L57+'Feb 2025'!K57</f>
        <v>0</v>
      </c>
      <c r="O57" s="39">
        <f>N57/N8</f>
        <v>0</v>
      </c>
    </row>
    <row r="58" spans="1:15" ht="15" x14ac:dyDescent="0.15">
      <c r="A58" s="5">
        <v>50</v>
      </c>
      <c r="B58" s="12" t="s">
        <v>114</v>
      </c>
      <c r="C58" s="12" t="s">
        <v>115</v>
      </c>
      <c r="D58" s="15">
        <v>0</v>
      </c>
      <c r="E58" s="15">
        <v>1</v>
      </c>
      <c r="F58" s="40">
        <v>0</v>
      </c>
      <c r="G58" s="14">
        <v>0</v>
      </c>
      <c r="H58" s="14">
        <v>0</v>
      </c>
      <c r="I58" s="41">
        <v>1</v>
      </c>
      <c r="J58" s="42">
        <v>0</v>
      </c>
      <c r="K58" s="15">
        <v>0</v>
      </c>
      <c r="L58" s="37">
        <f t="shared" si="0"/>
        <v>2</v>
      </c>
      <c r="M58" s="43">
        <f>(L58/L8)*100</f>
        <v>4.4444444444444446</v>
      </c>
      <c r="N58" s="28">
        <f>L58+'Feb 2025'!K58</f>
        <v>8</v>
      </c>
      <c r="O58" s="39">
        <f>N58/N8</f>
        <v>9.4117647058823528E-2</v>
      </c>
    </row>
    <row r="59" spans="1:15" ht="15" x14ac:dyDescent="0.15">
      <c r="A59" s="5">
        <v>51</v>
      </c>
      <c r="B59" s="6" t="s">
        <v>116</v>
      </c>
      <c r="C59" s="6" t="s">
        <v>117</v>
      </c>
      <c r="D59" s="15">
        <v>7</v>
      </c>
      <c r="E59" s="15">
        <v>1</v>
      </c>
      <c r="F59" s="40">
        <v>1</v>
      </c>
      <c r="G59" s="14">
        <v>0</v>
      </c>
      <c r="H59" s="14">
        <v>0</v>
      </c>
      <c r="I59" s="41">
        <v>0</v>
      </c>
      <c r="J59" s="42">
        <v>0</v>
      </c>
      <c r="K59" s="15">
        <v>0</v>
      </c>
      <c r="L59" s="37">
        <f t="shared" si="0"/>
        <v>9</v>
      </c>
      <c r="M59" s="43">
        <f>(L59/L8)*100</f>
        <v>20</v>
      </c>
      <c r="N59" s="28">
        <f>L59+'Feb 2025'!K59</f>
        <v>9</v>
      </c>
      <c r="O59" s="39">
        <f>N59/N8</f>
        <v>0.10588235294117647</v>
      </c>
    </row>
    <row r="60" spans="1:15" ht="15" x14ac:dyDescent="0.15">
      <c r="A60" s="5">
        <v>52</v>
      </c>
      <c r="B60" s="12" t="s">
        <v>118</v>
      </c>
      <c r="C60" s="12" t="s">
        <v>119</v>
      </c>
      <c r="D60" s="15">
        <v>0</v>
      </c>
      <c r="E60" s="15">
        <v>2</v>
      </c>
      <c r="F60" s="40">
        <v>3</v>
      </c>
      <c r="G60" s="14">
        <v>0</v>
      </c>
      <c r="H60" s="14">
        <v>4</v>
      </c>
      <c r="I60" s="41">
        <v>4</v>
      </c>
      <c r="J60" s="42">
        <v>5</v>
      </c>
      <c r="K60" s="15">
        <v>1</v>
      </c>
      <c r="L60" s="37">
        <f t="shared" si="0"/>
        <v>19</v>
      </c>
      <c r="M60" s="43">
        <f>(L60/L8)*100</f>
        <v>42.222222222222221</v>
      </c>
      <c r="N60" s="28">
        <f>L60+'Feb 2025'!K60</f>
        <v>34</v>
      </c>
      <c r="O60" s="39">
        <f>N60/N8</f>
        <v>0.4</v>
      </c>
    </row>
    <row r="61" spans="1:15" ht="15" x14ac:dyDescent="0.15">
      <c r="A61" s="5">
        <v>53</v>
      </c>
      <c r="B61" s="6" t="s">
        <v>120</v>
      </c>
      <c r="C61" s="6" t="s">
        <v>121</v>
      </c>
      <c r="D61" s="15">
        <v>0</v>
      </c>
      <c r="E61" s="15">
        <v>1</v>
      </c>
      <c r="F61" s="40">
        <v>1</v>
      </c>
      <c r="G61" s="14">
        <v>0</v>
      </c>
      <c r="H61" s="14">
        <v>0</v>
      </c>
      <c r="I61" s="41">
        <v>3</v>
      </c>
      <c r="J61" s="42">
        <v>3</v>
      </c>
      <c r="K61" s="15">
        <v>0</v>
      </c>
      <c r="L61" s="37">
        <f t="shared" si="0"/>
        <v>8</v>
      </c>
      <c r="M61" s="43">
        <f>(L61/L8)*100</f>
        <v>17.777777777777779</v>
      </c>
      <c r="N61" s="28">
        <f>L61+'Feb 2025'!K61</f>
        <v>13</v>
      </c>
      <c r="O61" s="39">
        <f>N61/N8</f>
        <v>0.15294117647058825</v>
      </c>
    </row>
    <row r="62" spans="1:15" ht="15" x14ac:dyDescent="0.15">
      <c r="A62" s="5">
        <v>54</v>
      </c>
      <c r="B62" s="12" t="s">
        <v>122</v>
      </c>
      <c r="C62" s="12" t="s">
        <v>123</v>
      </c>
      <c r="D62" s="15">
        <v>7</v>
      </c>
      <c r="E62" s="15">
        <v>2</v>
      </c>
      <c r="F62" s="40">
        <v>0</v>
      </c>
      <c r="G62" s="14">
        <v>0</v>
      </c>
      <c r="H62" s="14">
        <v>0</v>
      </c>
      <c r="I62" s="41">
        <v>0</v>
      </c>
      <c r="J62" s="42">
        <v>0</v>
      </c>
      <c r="K62" s="15">
        <v>0</v>
      </c>
      <c r="L62" s="37">
        <f t="shared" si="0"/>
        <v>9</v>
      </c>
      <c r="M62" s="43">
        <f>(L62/L8)*100</f>
        <v>20</v>
      </c>
      <c r="N62" s="28">
        <f>L62+'Feb 2025'!K62</f>
        <v>12</v>
      </c>
      <c r="O62" s="39">
        <f>N62/N8</f>
        <v>0.14117647058823529</v>
      </c>
    </row>
    <row r="63" spans="1:15" ht="15" x14ac:dyDescent="0.15">
      <c r="A63" s="5">
        <v>55</v>
      </c>
      <c r="B63" s="6" t="s">
        <v>124</v>
      </c>
      <c r="C63" s="6" t="s">
        <v>125</v>
      </c>
      <c r="D63" s="15">
        <v>0</v>
      </c>
      <c r="E63" s="15">
        <v>4</v>
      </c>
      <c r="F63" s="40">
        <v>5</v>
      </c>
      <c r="G63" s="14">
        <v>0</v>
      </c>
      <c r="H63" s="14">
        <v>4</v>
      </c>
      <c r="I63" s="41">
        <v>5</v>
      </c>
      <c r="J63" s="42">
        <v>6</v>
      </c>
      <c r="K63" s="15">
        <v>3</v>
      </c>
      <c r="L63" s="37">
        <f t="shared" si="0"/>
        <v>27</v>
      </c>
      <c r="M63" s="43">
        <f>(L63/L8)*100</f>
        <v>60</v>
      </c>
      <c r="N63" s="28">
        <f>L63+'Feb 2025'!K63</f>
        <v>36</v>
      </c>
      <c r="O63" s="39">
        <f>N63/N8</f>
        <v>0.42352941176470588</v>
      </c>
    </row>
    <row r="64" spans="1:15" ht="15" x14ac:dyDescent="0.15">
      <c r="A64" s="5">
        <v>56</v>
      </c>
      <c r="B64" s="12" t="s">
        <v>126</v>
      </c>
      <c r="C64" s="12" t="s">
        <v>127</v>
      </c>
      <c r="D64" s="15">
        <v>7</v>
      </c>
      <c r="E64" s="15">
        <v>2</v>
      </c>
      <c r="F64" s="40">
        <v>0</v>
      </c>
      <c r="G64" s="14">
        <v>0</v>
      </c>
      <c r="H64" s="14">
        <v>0</v>
      </c>
      <c r="I64" s="41">
        <v>0</v>
      </c>
      <c r="J64" s="42">
        <v>2</v>
      </c>
      <c r="K64" s="15">
        <v>1</v>
      </c>
      <c r="L64" s="37">
        <f t="shared" si="0"/>
        <v>12</v>
      </c>
      <c r="M64" s="43">
        <f>(L64/L8)*100</f>
        <v>26.666666666666668</v>
      </c>
      <c r="N64" s="28">
        <f>L64+'Feb 2025'!K64</f>
        <v>29</v>
      </c>
      <c r="O64" s="39">
        <f>N64/N8</f>
        <v>0.3411764705882353</v>
      </c>
    </row>
    <row r="65" spans="1:15" ht="15" x14ac:dyDescent="0.15">
      <c r="A65" s="5">
        <v>57</v>
      </c>
      <c r="B65" s="6" t="s">
        <v>128</v>
      </c>
      <c r="C65" s="6" t="s">
        <v>129</v>
      </c>
      <c r="D65" s="45">
        <v>0</v>
      </c>
      <c r="E65" s="45">
        <v>3</v>
      </c>
      <c r="F65" s="40">
        <v>0</v>
      </c>
      <c r="G65" s="14">
        <v>2</v>
      </c>
      <c r="H65" s="14">
        <v>0</v>
      </c>
      <c r="I65" s="41">
        <v>4</v>
      </c>
      <c r="J65" s="42">
        <v>4</v>
      </c>
      <c r="K65" s="19">
        <v>0</v>
      </c>
      <c r="L65" s="37">
        <f t="shared" si="0"/>
        <v>13</v>
      </c>
      <c r="M65" s="43">
        <f>(L65/L8)*100</f>
        <v>28.888888888888886</v>
      </c>
      <c r="N65" s="28">
        <f>L65+'Feb 2025'!K65</f>
        <v>33</v>
      </c>
      <c r="O65" s="39">
        <f>N65/N8</f>
        <v>0.38823529411764707</v>
      </c>
    </row>
    <row r="66" spans="1:15" ht="67.5" x14ac:dyDescent="0.15">
      <c r="A66" s="109" t="s">
        <v>130</v>
      </c>
      <c r="B66" s="96"/>
      <c r="C66" s="110"/>
      <c r="D66" s="46"/>
      <c r="E66" s="46" t="s">
        <v>131</v>
      </c>
      <c r="F66" s="47" t="s">
        <v>145</v>
      </c>
      <c r="G66" s="48" t="s">
        <v>133</v>
      </c>
      <c r="H66" s="47" t="s">
        <v>134</v>
      </c>
      <c r="I66" s="49" t="s">
        <v>135</v>
      </c>
      <c r="J66" s="50" t="s">
        <v>136</v>
      </c>
      <c r="K66" s="49" t="s">
        <v>137</v>
      </c>
      <c r="L66" s="51"/>
      <c r="M66" s="52"/>
    </row>
    <row r="67" spans="1:15" ht="12.75" x14ac:dyDescent="0.15">
      <c r="A67" s="111"/>
      <c r="B67" s="107"/>
      <c r="C67" s="107"/>
      <c r="D67" s="107"/>
      <c r="E67" s="92"/>
      <c r="F67" s="86"/>
      <c r="G67" s="108"/>
      <c r="H67" s="108"/>
      <c r="I67" s="108"/>
      <c r="J67" s="108"/>
      <c r="K67" s="87"/>
      <c r="L67" s="86"/>
      <c r="M67" s="87"/>
    </row>
    <row r="68" spans="1:15" ht="12.75" x14ac:dyDescent="0.15">
      <c r="A68" s="88"/>
      <c r="B68" s="108"/>
      <c r="C68" s="108"/>
      <c r="D68" s="108"/>
      <c r="E68" s="87"/>
      <c r="F68" s="88"/>
      <c r="G68" s="108"/>
      <c r="H68" s="108"/>
      <c r="I68" s="108"/>
      <c r="J68" s="108"/>
      <c r="K68" s="87"/>
      <c r="L68" s="88"/>
      <c r="M68" s="87"/>
    </row>
    <row r="69" spans="1:15" ht="12.75" x14ac:dyDescent="0.15">
      <c r="A69" s="88"/>
      <c r="B69" s="108"/>
      <c r="C69" s="108"/>
      <c r="D69" s="108"/>
      <c r="E69" s="87"/>
      <c r="F69" s="88"/>
      <c r="G69" s="108"/>
      <c r="H69" s="108"/>
      <c r="I69" s="108"/>
      <c r="J69" s="108"/>
      <c r="K69" s="87"/>
      <c r="L69" s="88"/>
      <c r="M69" s="87"/>
    </row>
    <row r="70" spans="1:15" ht="12.75" x14ac:dyDescent="0.15">
      <c r="A70" s="89"/>
      <c r="B70" s="94"/>
      <c r="C70" s="94"/>
      <c r="D70" s="94"/>
      <c r="E70" s="90"/>
      <c r="F70" s="89"/>
      <c r="G70" s="94"/>
      <c r="H70" s="94"/>
      <c r="I70" s="94"/>
      <c r="J70" s="94"/>
      <c r="K70" s="90"/>
      <c r="L70" s="89"/>
      <c r="M70" s="90"/>
    </row>
    <row r="71" spans="1:15" ht="12.75" x14ac:dyDescent="0.15">
      <c r="A71" s="106" t="s">
        <v>138</v>
      </c>
      <c r="B71" s="107"/>
      <c r="C71" s="107"/>
      <c r="D71" s="107"/>
      <c r="E71" s="92"/>
      <c r="F71" s="106" t="s">
        <v>139</v>
      </c>
      <c r="G71" s="107"/>
      <c r="H71" s="107"/>
      <c r="I71" s="107"/>
      <c r="J71" s="107"/>
      <c r="K71" s="92"/>
      <c r="L71" s="91" t="s">
        <v>140</v>
      </c>
      <c r="M71" s="92"/>
    </row>
    <row r="72" spans="1:15" ht="12.75" x14ac:dyDescent="0.15">
      <c r="A72" s="88"/>
      <c r="B72" s="108"/>
      <c r="C72" s="108"/>
      <c r="D72" s="108"/>
      <c r="E72" s="87"/>
      <c r="F72" s="88"/>
      <c r="G72" s="108"/>
      <c r="H72" s="108"/>
      <c r="I72" s="108"/>
      <c r="J72" s="108"/>
      <c r="K72" s="87"/>
      <c r="L72" s="88"/>
      <c r="M72" s="87"/>
    </row>
    <row r="73" spans="1:15" ht="12.75" x14ac:dyDescent="0.15">
      <c r="A73" s="88"/>
      <c r="B73" s="108"/>
      <c r="C73" s="108"/>
      <c r="D73" s="108"/>
      <c r="E73" s="87"/>
      <c r="F73" s="88"/>
      <c r="G73" s="108"/>
      <c r="H73" s="108"/>
      <c r="I73" s="108"/>
      <c r="J73" s="108"/>
      <c r="K73" s="87"/>
      <c r="L73" s="88"/>
      <c r="M73" s="87"/>
    </row>
    <row r="74" spans="1:15" ht="12.75" x14ac:dyDescent="0.15">
      <c r="A74" s="89"/>
      <c r="B74" s="94"/>
      <c r="C74" s="94"/>
      <c r="D74" s="94"/>
      <c r="E74" s="90"/>
      <c r="F74" s="89"/>
      <c r="G74" s="94"/>
      <c r="H74" s="94"/>
      <c r="I74" s="94"/>
      <c r="J74" s="94"/>
      <c r="K74" s="90"/>
      <c r="L74" s="89"/>
      <c r="M74" s="90"/>
    </row>
  </sheetData>
  <mergeCells count="24">
    <mergeCell ref="N4:N6"/>
    <mergeCell ref="A1:M1"/>
    <mergeCell ref="A2:M2"/>
    <mergeCell ref="A3:M3"/>
    <mergeCell ref="A4:A8"/>
    <mergeCell ref="B4:B8"/>
    <mergeCell ref="C4:C8"/>
    <mergeCell ref="D4:D8"/>
    <mergeCell ref="G4:G7"/>
    <mergeCell ref="H4:H7"/>
    <mergeCell ref="I4:I7"/>
    <mergeCell ref="J4:J7"/>
    <mergeCell ref="K4:K7"/>
    <mergeCell ref="F71:K74"/>
    <mergeCell ref="L71:M74"/>
    <mergeCell ref="E4:E7"/>
    <mergeCell ref="F4:F7"/>
    <mergeCell ref="A66:C66"/>
    <mergeCell ref="A67:E70"/>
    <mergeCell ref="F67:K70"/>
    <mergeCell ref="L67:M70"/>
    <mergeCell ref="A71:E74"/>
    <mergeCell ref="L4:L6"/>
    <mergeCell ref="M4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74"/>
  <sheetViews>
    <sheetView tabSelected="1" workbookViewId="0">
      <selection sqref="A1:M1"/>
    </sheetView>
  </sheetViews>
  <sheetFormatPr defaultColWidth="12.5390625" defaultRowHeight="15.75" customHeight="1" x14ac:dyDescent="0.15"/>
  <cols>
    <col min="3" max="3" width="24.13671875" customWidth="1"/>
    <col min="7" max="7" width="14.83203125" customWidth="1"/>
    <col min="10" max="10" width="14.29296875" customWidth="1"/>
    <col min="14" max="14" width="18.203125" customWidth="1"/>
    <col min="15" max="15" width="16.44921875" customWidth="1"/>
  </cols>
  <sheetData>
    <row r="1" spans="1:15" ht="25.5" x14ac:dyDescent="0.3">
      <c r="A1" s="11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5" ht="25.5" x14ac:dyDescent="0.3">
      <c r="A2" s="95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5.5" x14ac:dyDescent="0.3">
      <c r="A3" s="95" t="s">
        <v>146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5" ht="12.75" x14ac:dyDescent="0.15">
      <c r="A4" s="97" t="s">
        <v>3</v>
      </c>
      <c r="B4" s="115" t="s">
        <v>4</v>
      </c>
      <c r="C4" s="115" t="s">
        <v>5</v>
      </c>
      <c r="D4" s="116" t="s">
        <v>6</v>
      </c>
      <c r="E4" s="103" t="s">
        <v>7</v>
      </c>
      <c r="F4" s="103" t="s">
        <v>7</v>
      </c>
      <c r="G4" s="103" t="s">
        <v>147</v>
      </c>
      <c r="H4" s="103" t="s">
        <v>9</v>
      </c>
      <c r="I4" s="103" t="s">
        <v>10</v>
      </c>
      <c r="J4" s="103" t="s">
        <v>11</v>
      </c>
      <c r="K4" s="103" t="s">
        <v>148</v>
      </c>
      <c r="L4" s="80" t="s">
        <v>13</v>
      </c>
      <c r="M4" s="83" t="s">
        <v>14</v>
      </c>
      <c r="N4" s="80" t="s">
        <v>149</v>
      </c>
      <c r="O4" s="83" t="s">
        <v>150</v>
      </c>
    </row>
    <row r="5" spans="1:15" ht="12.75" x14ac:dyDescent="0.15">
      <c r="A5" s="98"/>
      <c r="B5" s="98"/>
      <c r="C5" s="98"/>
      <c r="D5" s="117"/>
      <c r="E5" s="104"/>
      <c r="F5" s="104"/>
      <c r="G5" s="104"/>
      <c r="H5" s="104"/>
      <c r="I5" s="104"/>
      <c r="J5" s="104"/>
      <c r="K5" s="104"/>
      <c r="L5" s="81"/>
      <c r="M5" s="84"/>
      <c r="N5" s="81"/>
      <c r="O5" s="84"/>
    </row>
    <row r="6" spans="1:15" ht="12.75" x14ac:dyDescent="0.15">
      <c r="A6" s="98"/>
      <c r="B6" s="98"/>
      <c r="C6" s="98"/>
      <c r="D6" s="117"/>
      <c r="E6" s="104"/>
      <c r="F6" s="104"/>
      <c r="G6" s="104"/>
      <c r="H6" s="104"/>
      <c r="I6" s="104"/>
      <c r="J6" s="104"/>
      <c r="K6" s="104"/>
      <c r="L6" s="82"/>
      <c r="M6" s="85"/>
      <c r="N6" s="82"/>
      <c r="O6" s="85"/>
    </row>
    <row r="7" spans="1:15" ht="1.5" customHeight="1" x14ac:dyDescent="0.15">
      <c r="A7" s="98"/>
      <c r="B7" s="98"/>
      <c r="C7" s="98"/>
      <c r="D7" s="118"/>
      <c r="E7" s="105"/>
      <c r="F7" s="105"/>
      <c r="G7" s="105"/>
      <c r="H7" s="105"/>
      <c r="I7" s="105"/>
      <c r="J7" s="105"/>
      <c r="K7" s="105"/>
      <c r="L7" s="1">
        <f t="shared" ref="L7:L65" si="0">SUM(D7:K7)</f>
        <v>0</v>
      </c>
      <c r="M7" s="2" t="s">
        <v>15</v>
      </c>
    </row>
    <row r="8" spans="1:15" ht="14.25" x14ac:dyDescent="0.15">
      <c r="A8" s="99"/>
      <c r="B8" s="99"/>
      <c r="C8" s="99"/>
      <c r="D8" s="53">
        <v>10</v>
      </c>
      <c r="E8" s="30">
        <v>10</v>
      </c>
      <c r="F8" s="30">
        <v>7</v>
      </c>
      <c r="G8" s="54">
        <v>6</v>
      </c>
      <c r="H8" s="54">
        <v>8</v>
      </c>
      <c r="I8" s="30">
        <v>10</v>
      </c>
      <c r="J8" s="30">
        <v>5</v>
      </c>
      <c r="K8" s="3">
        <v>2</v>
      </c>
      <c r="L8" s="31">
        <f t="shared" si="0"/>
        <v>58</v>
      </c>
      <c r="M8" s="55"/>
      <c r="N8" s="56">
        <f>L8+'March 2025'!L8+'Feb 2025'!K8</f>
        <v>143</v>
      </c>
      <c r="O8" s="57"/>
    </row>
    <row r="9" spans="1:15" ht="15" x14ac:dyDescent="0.15">
      <c r="A9" s="5">
        <v>1</v>
      </c>
      <c r="B9" s="6" t="s">
        <v>16</v>
      </c>
      <c r="C9" s="6" t="s">
        <v>17</v>
      </c>
      <c r="D9" s="58">
        <v>2</v>
      </c>
      <c r="E9" s="34">
        <v>3</v>
      </c>
      <c r="F9" s="34">
        <v>0</v>
      </c>
      <c r="G9" s="34">
        <v>2</v>
      </c>
      <c r="H9" s="34">
        <v>0</v>
      </c>
      <c r="I9" s="35">
        <v>2</v>
      </c>
      <c r="J9" s="36">
        <v>1</v>
      </c>
      <c r="K9" s="59">
        <v>0</v>
      </c>
      <c r="L9" s="37">
        <f t="shared" si="0"/>
        <v>10</v>
      </c>
      <c r="M9" s="60">
        <f t="shared" ref="M9:M65" si="1">(L9/56)*100</f>
        <v>17.857142857142858</v>
      </c>
      <c r="N9" s="61">
        <f>L9+'March 2025'!L9+'Feb 2025'!K9</f>
        <v>29</v>
      </c>
      <c r="O9" s="62">
        <f t="shared" ref="O9:O65" si="2">N9/143</f>
        <v>0.20279720279720279</v>
      </c>
    </row>
    <row r="10" spans="1:15" ht="15" x14ac:dyDescent="0.15">
      <c r="A10" s="5">
        <v>2</v>
      </c>
      <c r="B10" s="12" t="s">
        <v>18</v>
      </c>
      <c r="C10" s="12" t="s">
        <v>19</v>
      </c>
      <c r="D10" s="63">
        <v>5</v>
      </c>
      <c r="E10" s="14">
        <v>6</v>
      </c>
      <c r="F10" s="14">
        <v>3</v>
      </c>
      <c r="G10" s="64">
        <v>0</v>
      </c>
      <c r="H10" s="14">
        <v>4</v>
      </c>
      <c r="I10" s="41">
        <v>5</v>
      </c>
      <c r="J10" s="42">
        <v>1</v>
      </c>
      <c r="K10" s="65">
        <v>0</v>
      </c>
      <c r="L10" s="66">
        <f t="shared" si="0"/>
        <v>24</v>
      </c>
      <c r="M10" s="60">
        <f t="shared" si="1"/>
        <v>42.857142857142854</v>
      </c>
      <c r="N10" s="67">
        <f>L10+'March 2025'!L10+'Feb 2025'!K10</f>
        <v>51</v>
      </c>
      <c r="O10" s="62">
        <f t="shared" si="2"/>
        <v>0.35664335664335667</v>
      </c>
    </row>
    <row r="11" spans="1:15" ht="15" x14ac:dyDescent="0.15">
      <c r="A11" s="5">
        <v>3</v>
      </c>
      <c r="B11" s="6" t="s">
        <v>20</v>
      </c>
      <c r="C11" s="6" t="s">
        <v>21</v>
      </c>
      <c r="D11" s="63">
        <v>9</v>
      </c>
      <c r="E11" s="14">
        <v>8</v>
      </c>
      <c r="F11" s="14">
        <v>3</v>
      </c>
      <c r="G11" s="14">
        <v>6</v>
      </c>
      <c r="H11" s="14">
        <v>4</v>
      </c>
      <c r="I11" s="41">
        <v>6</v>
      </c>
      <c r="J11" s="42">
        <v>4</v>
      </c>
      <c r="K11" s="65">
        <v>1</v>
      </c>
      <c r="L11" s="66">
        <f t="shared" si="0"/>
        <v>41</v>
      </c>
      <c r="M11" s="60">
        <f t="shared" si="1"/>
        <v>73.214285714285708</v>
      </c>
      <c r="N11" s="67">
        <f>L11+'March 2025'!L11+'Feb 2025'!K11</f>
        <v>66</v>
      </c>
      <c r="O11" s="62">
        <f t="shared" si="2"/>
        <v>0.46153846153846156</v>
      </c>
    </row>
    <row r="12" spans="1:15" ht="15" x14ac:dyDescent="0.15">
      <c r="A12" s="5">
        <v>4</v>
      </c>
      <c r="B12" s="12" t="s">
        <v>22</v>
      </c>
      <c r="C12" s="12" t="s">
        <v>23</v>
      </c>
      <c r="D12" s="63">
        <v>3</v>
      </c>
      <c r="E12" s="14">
        <v>0</v>
      </c>
      <c r="F12" s="14">
        <v>0</v>
      </c>
      <c r="G12" s="64">
        <v>0</v>
      </c>
      <c r="H12" s="14">
        <v>1</v>
      </c>
      <c r="I12" s="41">
        <v>1</v>
      </c>
      <c r="J12" s="42">
        <v>0</v>
      </c>
      <c r="K12" s="65">
        <v>0</v>
      </c>
      <c r="L12" s="66">
        <f t="shared" si="0"/>
        <v>5</v>
      </c>
      <c r="M12" s="60">
        <f t="shared" si="1"/>
        <v>8.9285714285714288</v>
      </c>
      <c r="N12" s="67">
        <f>L12+'March 2025'!L12+'Feb 2025'!K12</f>
        <v>5</v>
      </c>
      <c r="O12" s="62">
        <f t="shared" si="2"/>
        <v>3.4965034965034968E-2</v>
      </c>
    </row>
    <row r="13" spans="1:15" ht="15" x14ac:dyDescent="0.15">
      <c r="A13" s="5">
        <v>5</v>
      </c>
      <c r="B13" s="6" t="s">
        <v>24</v>
      </c>
      <c r="C13" s="6" t="s">
        <v>25</v>
      </c>
      <c r="D13" s="63">
        <v>8</v>
      </c>
      <c r="E13" s="14">
        <v>7</v>
      </c>
      <c r="F13" s="14">
        <v>0</v>
      </c>
      <c r="G13" s="64">
        <v>0</v>
      </c>
      <c r="H13" s="14">
        <v>3</v>
      </c>
      <c r="I13" s="41">
        <v>7</v>
      </c>
      <c r="J13" s="42">
        <v>1</v>
      </c>
      <c r="K13" s="65">
        <v>0</v>
      </c>
      <c r="L13" s="66">
        <f t="shared" si="0"/>
        <v>26</v>
      </c>
      <c r="M13" s="60">
        <f t="shared" si="1"/>
        <v>46.428571428571431</v>
      </c>
      <c r="N13" s="67">
        <f>L13+'March 2025'!L13+'Feb 2025'!K13</f>
        <v>68</v>
      </c>
      <c r="O13" s="62">
        <f t="shared" si="2"/>
        <v>0.47552447552447552</v>
      </c>
    </row>
    <row r="14" spans="1:15" ht="15" x14ac:dyDescent="0.15">
      <c r="A14" s="5">
        <v>6</v>
      </c>
      <c r="B14" s="12" t="s">
        <v>26</v>
      </c>
      <c r="C14" s="12" t="s">
        <v>27</v>
      </c>
      <c r="D14" s="63">
        <v>7</v>
      </c>
      <c r="E14" s="14">
        <v>6</v>
      </c>
      <c r="F14" s="14">
        <v>4</v>
      </c>
      <c r="G14" s="14">
        <v>4</v>
      </c>
      <c r="H14" s="14">
        <v>5</v>
      </c>
      <c r="I14" s="41">
        <v>7</v>
      </c>
      <c r="J14" s="42">
        <v>1</v>
      </c>
      <c r="K14" s="65">
        <v>1</v>
      </c>
      <c r="L14" s="66">
        <f t="shared" si="0"/>
        <v>35</v>
      </c>
      <c r="M14" s="60">
        <f t="shared" si="1"/>
        <v>62.5</v>
      </c>
      <c r="N14" s="67">
        <f>L14+'March 2025'!L14+'Feb 2025'!K14</f>
        <v>46</v>
      </c>
      <c r="O14" s="62">
        <f t="shared" si="2"/>
        <v>0.32167832167832167</v>
      </c>
    </row>
    <row r="15" spans="1:15" ht="15" x14ac:dyDescent="0.15">
      <c r="A15" s="5">
        <v>7</v>
      </c>
      <c r="B15" s="6" t="s">
        <v>28</v>
      </c>
      <c r="C15" s="6" t="s">
        <v>29</v>
      </c>
      <c r="D15" s="63">
        <v>5</v>
      </c>
      <c r="E15" s="14">
        <v>3</v>
      </c>
      <c r="F15" s="14">
        <v>3</v>
      </c>
      <c r="G15" s="14">
        <v>2</v>
      </c>
      <c r="H15" s="14">
        <v>5</v>
      </c>
      <c r="I15" s="41">
        <v>5</v>
      </c>
      <c r="J15" s="42">
        <v>3</v>
      </c>
      <c r="K15" s="65">
        <v>2</v>
      </c>
      <c r="L15" s="66">
        <f t="shared" si="0"/>
        <v>28</v>
      </c>
      <c r="M15" s="60">
        <f t="shared" si="1"/>
        <v>50</v>
      </c>
      <c r="N15" s="67">
        <f>L15+'March 2025'!L15+'Feb 2025'!K15</f>
        <v>60</v>
      </c>
      <c r="O15" s="62">
        <f t="shared" si="2"/>
        <v>0.41958041958041958</v>
      </c>
    </row>
    <row r="16" spans="1:15" ht="15" x14ac:dyDescent="0.15">
      <c r="A16" s="5">
        <v>8</v>
      </c>
      <c r="B16" s="12" t="s">
        <v>30</v>
      </c>
      <c r="C16" s="12" t="s">
        <v>31</v>
      </c>
      <c r="D16" s="63">
        <v>8</v>
      </c>
      <c r="E16" s="14">
        <v>6</v>
      </c>
      <c r="F16" s="14">
        <v>3</v>
      </c>
      <c r="G16" s="64">
        <v>0</v>
      </c>
      <c r="H16" s="14">
        <v>6</v>
      </c>
      <c r="I16" s="41">
        <v>5</v>
      </c>
      <c r="J16" s="42">
        <v>2</v>
      </c>
      <c r="K16" s="65">
        <v>0</v>
      </c>
      <c r="L16" s="66">
        <f t="shared" si="0"/>
        <v>30</v>
      </c>
      <c r="M16" s="60">
        <f t="shared" si="1"/>
        <v>53.571428571428569</v>
      </c>
      <c r="N16" s="67">
        <f>L16+'March 2025'!L16+'Feb 2025'!K16</f>
        <v>85</v>
      </c>
      <c r="O16" s="62">
        <f t="shared" si="2"/>
        <v>0.59440559440559437</v>
      </c>
    </row>
    <row r="17" spans="1:15" ht="15" x14ac:dyDescent="0.15">
      <c r="A17" s="5">
        <v>9</v>
      </c>
      <c r="B17" s="6" t="s">
        <v>32</v>
      </c>
      <c r="C17" s="6" t="s">
        <v>33</v>
      </c>
      <c r="D17" s="63">
        <v>9</v>
      </c>
      <c r="E17" s="14">
        <v>9</v>
      </c>
      <c r="F17" s="14">
        <v>5</v>
      </c>
      <c r="G17" s="14">
        <v>2</v>
      </c>
      <c r="H17" s="14">
        <v>6</v>
      </c>
      <c r="I17" s="41">
        <v>4</v>
      </c>
      <c r="J17" s="42">
        <v>4</v>
      </c>
      <c r="K17" s="65">
        <v>1</v>
      </c>
      <c r="L17" s="66">
        <f t="shared" si="0"/>
        <v>40</v>
      </c>
      <c r="M17" s="60">
        <f t="shared" si="1"/>
        <v>71.428571428571431</v>
      </c>
      <c r="N17" s="67">
        <f>L17+'March 2025'!L17+'Feb 2025'!K17</f>
        <v>64</v>
      </c>
      <c r="O17" s="62">
        <f t="shared" si="2"/>
        <v>0.44755244755244755</v>
      </c>
    </row>
    <row r="18" spans="1:15" ht="15" x14ac:dyDescent="0.15">
      <c r="A18" s="5">
        <v>10</v>
      </c>
      <c r="B18" s="12" t="s">
        <v>34</v>
      </c>
      <c r="C18" s="12" t="s">
        <v>35</v>
      </c>
      <c r="D18" s="63">
        <v>0</v>
      </c>
      <c r="E18" s="14">
        <v>0</v>
      </c>
      <c r="F18" s="14">
        <v>1</v>
      </c>
      <c r="G18" s="64">
        <v>0</v>
      </c>
      <c r="H18" s="14">
        <v>1</v>
      </c>
      <c r="I18" s="41">
        <v>1</v>
      </c>
      <c r="J18" s="42">
        <v>3</v>
      </c>
      <c r="K18" s="65">
        <v>0</v>
      </c>
      <c r="L18" s="66">
        <f t="shared" si="0"/>
        <v>6</v>
      </c>
      <c r="M18" s="60">
        <f t="shared" si="1"/>
        <v>10.714285714285714</v>
      </c>
      <c r="N18" s="67">
        <f>L18+'March 2025'!L18+'Feb 2025'!K18</f>
        <v>16</v>
      </c>
      <c r="O18" s="62">
        <f t="shared" si="2"/>
        <v>0.11188811188811189</v>
      </c>
    </row>
    <row r="19" spans="1:15" ht="15" x14ac:dyDescent="0.15">
      <c r="A19" s="5">
        <v>11</v>
      </c>
      <c r="B19" s="6" t="s">
        <v>36</v>
      </c>
      <c r="C19" s="6" t="s">
        <v>37</v>
      </c>
      <c r="D19" s="63">
        <v>5</v>
      </c>
      <c r="E19" s="14">
        <v>6</v>
      </c>
      <c r="F19" s="14">
        <v>1</v>
      </c>
      <c r="G19" s="14">
        <v>2</v>
      </c>
      <c r="H19" s="14">
        <v>5</v>
      </c>
      <c r="I19" s="41">
        <v>6</v>
      </c>
      <c r="J19" s="42">
        <v>1</v>
      </c>
      <c r="K19" s="65">
        <v>1</v>
      </c>
      <c r="L19" s="66">
        <f t="shared" si="0"/>
        <v>27</v>
      </c>
      <c r="M19" s="60">
        <f t="shared" si="1"/>
        <v>48.214285714285715</v>
      </c>
      <c r="N19" s="67">
        <f>L19+'March 2025'!L19+'Feb 2025'!K19</f>
        <v>66</v>
      </c>
      <c r="O19" s="62">
        <f t="shared" si="2"/>
        <v>0.46153846153846156</v>
      </c>
    </row>
    <row r="20" spans="1:15" ht="15" x14ac:dyDescent="0.15">
      <c r="A20" s="5">
        <v>12</v>
      </c>
      <c r="B20" s="12" t="s">
        <v>38</v>
      </c>
      <c r="C20" s="12" t="s">
        <v>39</v>
      </c>
      <c r="D20" s="63">
        <v>9</v>
      </c>
      <c r="E20" s="14">
        <v>9</v>
      </c>
      <c r="F20" s="14">
        <v>6</v>
      </c>
      <c r="G20" s="64">
        <v>0</v>
      </c>
      <c r="H20" s="14">
        <v>6</v>
      </c>
      <c r="I20" s="41">
        <v>8</v>
      </c>
      <c r="J20" s="42">
        <v>3</v>
      </c>
      <c r="K20" s="65">
        <v>0</v>
      </c>
      <c r="L20" s="66">
        <f t="shared" si="0"/>
        <v>41</v>
      </c>
      <c r="M20" s="60">
        <f t="shared" si="1"/>
        <v>73.214285714285708</v>
      </c>
      <c r="N20" s="67">
        <f>L20+'March 2025'!L20+'Feb 2025'!K20</f>
        <v>94</v>
      </c>
      <c r="O20" s="62">
        <f t="shared" si="2"/>
        <v>0.65734265734265729</v>
      </c>
    </row>
    <row r="21" spans="1:15" ht="15" x14ac:dyDescent="0.15">
      <c r="A21" s="5">
        <v>13</v>
      </c>
      <c r="B21" s="6" t="s">
        <v>40</v>
      </c>
      <c r="C21" s="6" t="s">
        <v>41</v>
      </c>
      <c r="D21" s="63">
        <v>7</v>
      </c>
      <c r="E21" s="14">
        <v>4</v>
      </c>
      <c r="F21" s="14">
        <v>4</v>
      </c>
      <c r="G21" s="14">
        <v>4</v>
      </c>
      <c r="H21" s="14">
        <v>6</v>
      </c>
      <c r="I21" s="41">
        <v>7</v>
      </c>
      <c r="J21" s="42">
        <v>1</v>
      </c>
      <c r="K21" s="65">
        <v>1</v>
      </c>
      <c r="L21" s="66">
        <f t="shared" si="0"/>
        <v>34</v>
      </c>
      <c r="M21" s="60">
        <f t="shared" si="1"/>
        <v>60.714285714285708</v>
      </c>
      <c r="N21" s="67">
        <f>L21+'March 2025'!L21+'Feb 2025'!K21</f>
        <v>76</v>
      </c>
      <c r="O21" s="62">
        <f t="shared" si="2"/>
        <v>0.53146853146853146</v>
      </c>
    </row>
    <row r="22" spans="1:15" ht="15" x14ac:dyDescent="0.15">
      <c r="A22" s="5">
        <v>14</v>
      </c>
      <c r="B22" s="12" t="s">
        <v>42</v>
      </c>
      <c r="C22" s="12" t="s">
        <v>43</v>
      </c>
      <c r="D22" s="63">
        <v>2</v>
      </c>
      <c r="E22" s="14">
        <v>4</v>
      </c>
      <c r="F22" s="14">
        <v>0</v>
      </c>
      <c r="G22" s="64">
        <v>0</v>
      </c>
      <c r="H22" s="14">
        <v>1</v>
      </c>
      <c r="I22" s="41">
        <v>4</v>
      </c>
      <c r="J22" s="42">
        <v>0</v>
      </c>
      <c r="K22" s="65">
        <v>0</v>
      </c>
      <c r="L22" s="66">
        <f t="shared" si="0"/>
        <v>11</v>
      </c>
      <c r="M22" s="60">
        <f t="shared" si="1"/>
        <v>19.642857142857142</v>
      </c>
      <c r="N22" s="67">
        <f>L22+'March 2025'!L22+'Feb 2025'!K22</f>
        <v>59</v>
      </c>
      <c r="O22" s="62">
        <f t="shared" si="2"/>
        <v>0.41258741258741261</v>
      </c>
    </row>
    <row r="23" spans="1:15" ht="15" x14ac:dyDescent="0.15">
      <c r="A23" s="5">
        <v>15</v>
      </c>
      <c r="B23" s="6" t="s">
        <v>44</v>
      </c>
      <c r="C23" s="6" t="s">
        <v>45</v>
      </c>
      <c r="D23" s="63">
        <v>0</v>
      </c>
      <c r="E23" s="14">
        <v>0</v>
      </c>
      <c r="F23" s="14">
        <v>0</v>
      </c>
      <c r="G23" s="64">
        <v>0</v>
      </c>
      <c r="H23" s="14">
        <v>0</v>
      </c>
      <c r="I23" s="41">
        <v>0</v>
      </c>
      <c r="J23" s="42">
        <v>0</v>
      </c>
      <c r="K23" s="65">
        <v>0</v>
      </c>
      <c r="L23" s="66">
        <f t="shared" si="0"/>
        <v>0</v>
      </c>
      <c r="M23" s="60">
        <f t="shared" si="1"/>
        <v>0</v>
      </c>
      <c r="N23" s="67">
        <f>L23+'March 2025'!L23+'Feb 2025'!K23</f>
        <v>0</v>
      </c>
      <c r="O23" s="62">
        <f t="shared" si="2"/>
        <v>0</v>
      </c>
    </row>
    <row r="24" spans="1:15" ht="15" x14ac:dyDescent="0.15">
      <c r="A24" s="5">
        <v>16</v>
      </c>
      <c r="B24" s="12" t="s">
        <v>46</v>
      </c>
      <c r="C24" s="12" t="s">
        <v>47</v>
      </c>
      <c r="D24" s="63">
        <v>6</v>
      </c>
      <c r="E24" s="14">
        <v>7</v>
      </c>
      <c r="F24" s="14">
        <v>3</v>
      </c>
      <c r="G24" s="64">
        <v>0</v>
      </c>
      <c r="H24" s="14">
        <v>5</v>
      </c>
      <c r="I24" s="41">
        <v>1</v>
      </c>
      <c r="J24" s="42">
        <v>3</v>
      </c>
      <c r="K24" s="65">
        <v>1</v>
      </c>
      <c r="L24" s="66">
        <f t="shared" si="0"/>
        <v>26</v>
      </c>
      <c r="M24" s="60">
        <f t="shared" si="1"/>
        <v>46.428571428571431</v>
      </c>
      <c r="N24" s="67">
        <f>L24+'March 2025'!L24+'Feb 2025'!K24</f>
        <v>28</v>
      </c>
      <c r="O24" s="62">
        <f t="shared" si="2"/>
        <v>0.19580419580419581</v>
      </c>
    </row>
    <row r="25" spans="1:15" ht="15" x14ac:dyDescent="0.15">
      <c r="A25" s="5">
        <v>17</v>
      </c>
      <c r="B25" s="6" t="s">
        <v>48</v>
      </c>
      <c r="C25" s="6" t="s">
        <v>49</v>
      </c>
      <c r="D25" s="63">
        <v>6</v>
      </c>
      <c r="E25" s="14">
        <v>7</v>
      </c>
      <c r="F25" s="14">
        <v>2</v>
      </c>
      <c r="G25" s="64">
        <v>0</v>
      </c>
      <c r="H25" s="14">
        <v>3</v>
      </c>
      <c r="I25" s="41">
        <v>5</v>
      </c>
      <c r="J25" s="42">
        <v>2</v>
      </c>
      <c r="K25" s="65">
        <v>0</v>
      </c>
      <c r="L25" s="66">
        <f t="shared" si="0"/>
        <v>25</v>
      </c>
      <c r="M25" s="60">
        <f t="shared" si="1"/>
        <v>44.642857142857146</v>
      </c>
      <c r="N25" s="67">
        <f>L25+'March 2025'!L25+'Feb 2025'!K25</f>
        <v>40</v>
      </c>
      <c r="O25" s="62">
        <f t="shared" si="2"/>
        <v>0.27972027972027974</v>
      </c>
    </row>
    <row r="26" spans="1:15" ht="15" x14ac:dyDescent="0.15">
      <c r="A26" s="5">
        <v>18</v>
      </c>
      <c r="B26" s="12" t="s">
        <v>50</v>
      </c>
      <c r="C26" s="12" t="s">
        <v>51</v>
      </c>
      <c r="D26" s="63">
        <v>8</v>
      </c>
      <c r="E26" s="14">
        <v>6</v>
      </c>
      <c r="F26" s="14">
        <v>4</v>
      </c>
      <c r="G26" s="64">
        <v>0</v>
      </c>
      <c r="H26" s="14">
        <v>3</v>
      </c>
      <c r="I26" s="41">
        <v>6</v>
      </c>
      <c r="J26" s="42">
        <v>2</v>
      </c>
      <c r="K26" s="65">
        <v>0</v>
      </c>
      <c r="L26" s="66">
        <f t="shared" si="0"/>
        <v>29</v>
      </c>
      <c r="M26" s="60">
        <f t="shared" si="1"/>
        <v>51.785714285714292</v>
      </c>
      <c r="N26" s="67">
        <f>L26+'March 2025'!L26+'Feb 2025'!K26</f>
        <v>67</v>
      </c>
      <c r="O26" s="62">
        <f t="shared" si="2"/>
        <v>0.46853146853146854</v>
      </c>
    </row>
    <row r="27" spans="1:15" ht="15" x14ac:dyDescent="0.15">
      <c r="A27" s="5">
        <v>19</v>
      </c>
      <c r="B27" s="6" t="s">
        <v>52</v>
      </c>
      <c r="C27" s="6" t="s">
        <v>53</v>
      </c>
      <c r="D27" s="63">
        <v>9</v>
      </c>
      <c r="E27" s="14">
        <v>7</v>
      </c>
      <c r="F27" s="14">
        <v>2</v>
      </c>
      <c r="G27" s="64">
        <v>0</v>
      </c>
      <c r="H27" s="14">
        <v>4</v>
      </c>
      <c r="I27" s="41">
        <v>3</v>
      </c>
      <c r="J27" s="42">
        <v>2</v>
      </c>
      <c r="K27" s="65">
        <v>1</v>
      </c>
      <c r="L27" s="66">
        <f t="shared" si="0"/>
        <v>28</v>
      </c>
      <c r="M27" s="60">
        <f t="shared" si="1"/>
        <v>50</v>
      </c>
      <c r="N27" s="67">
        <f>L27+'March 2025'!L27+'Feb 2025'!K27</f>
        <v>56</v>
      </c>
      <c r="O27" s="62">
        <f t="shared" si="2"/>
        <v>0.39160839160839161</v>
      </c>
    </row>
    <row r="28" spans="1:15" ht="15" x14ac:dyDescent="0.15">
      <c r="A28" s="5">
        <v>20</v>
      </c>
      <c r="B28" s="12" t="s">
        <v>54</v>
      </c>
      <c r="C28" s="12" t="s">
        <v>55</v>
      </c>
      <c r="D28" s="63">
        <v>5</v>
      </c>
      <c r="E28" s="14">
        <v>3</v>
      </c>
      <c r="F28" s="14">
        <v>4</v>
      </c>
      <c r="G28" s="14">
        <v>4</v>
      </c>
      <c r="H28" s="14">
        <v>3</v>
      </c>
      <c r="I28" s="41">
        <v>5</v>
      </c>
      <c r="J28" s="42">
        <v>1</v>
      </c>
      <c r="K28" s="65">
        <v>0</v>
      </c>
      <c r="L28" s="66">
        <f t="shared" si="0"/>
        <v>25</v>
      </c>
      <c r="M28" s="60">
        <f t="shared" si="1"/>
        <v>44.642857142857146</v>
      </c>
      <c r="N28" s="67">
        <f>L28+'March 2025'!L28+'Feb 2025'!K28</f>
        <v>65</v>
      </c>
      <c r="O28" s="62">
        <f t="shared" si="2"/>
        <v>0.45454545454545453</v>
      </c>
    </row>
    <row r="29" spans="1:15" ht="15" x14ac:dyDescent="0.15">
      <c r="A29" s="5">
        <v>21</v>
      </c>
      <c r="B29" s="6" t="s">
        <v>56</v>
      </c>
      <c r="C29" s="6" t="s">
        <v>57</v>
      </c>
      <c r="D29" s="63">
        <v>8</v>
      </c>
      <c r="E29" s="14">
        <v>6</v>
      </c>
      <c r="F29" s="14">
        <v>4</v>
      </c>
      <c r="G29" s="14">
        <v>4</v>
      </c>
      <c r="H29" s="14">
        <v>6</v>
      </c>
      <c r="I29" s="41">
        <v>7</v>
      </c>
      <c r="J29" s="42">
        <v>3</v>
      </c>
      <c r="K29" s="65">
        <v>1</v>
      </c>
      <c r="L29" s="66">
        <f t="shared" si="0"/>
        <v>39</v>
      </c>
      <c r="M29" s="60">
        <f t="shared" si="1"/>
        <v>69.642857142857139</v>
      </c>
      <c r="N29" s="67">
        <f>L29+'March 2025'!L29+'Feb 2025'!K29</f>
        <v>66</v>
      </c>
      <c r="O29" s="62">
        <f t="shared" si="2"/>
        <v>0.46153846153846156</v>
      </c>
    </row>
    <row r="30" spans="1:15" ht="15" x14ac:dyDescent="0.15">
      <c r="A30" s="5">
        <v>22</v>
      </c>
      <c r="B30" s="12" t="s">
        <v>58</v>
      </c>
      <c r="C30" s="12" t="s">
        <v>59</v>
      </c>
      <c r="D30" s="63">
        <v>7</v>
      </c>
      <c r="E30" s="14">
        <v>4</v>
      </c>
      <c r="F30" s="14">
        <v>1</v>
      </c>
      <c r="G30" s="14">
        <v>2</v>
      </c>
      <c r="H30" s="14">
        <v>1</v>
      </c>
      <c r="I30" s="41">
        <v>2</v>
      </c>
      <c r="J30" s="42">
        <v>1</v>
      </c>
      <c r="K30" s="65">
        <v>0</v>
      </c>
      <c r="L30" s="66">
        <f t="shared" si="0"/>
        <v>18</v>
      </c>
      <c r="M30" s="60">
        <f t="shared" si="1"/>
        <v>32.142857142857146</v>
      </c>
      <c r="N30" s="67">
        <f>L30+'March 2025'!L30+'Feb 2025'!K30</f>
        <v>60</v>
      </c>
      <c r="O30" s="62">
        <f t="shared" si="2"/>
        <v>0.41958041958041958</v>
      </c>
    </row>
    <row r="31" spans="1:15" ht="15" x14ac:dyDescent="0.15">
      <c r="A31" s="5">
        <v>23</v>
      </c>
      <c r="B31" s="6" t="s">
        <v>60</v>
      </c>
      <c r="C31" s="6" t="s">
        <v>61</v>
      </c>
      <c r="D31" s="63">
        <v>0</v>
      </c>
      <c r="E31" s="14">
        <v>0</v>
      </c>
      <c r="F31" s="14">
        <v>0</v>
      </c>
      <c r="G31" s="64">
        <v>0</v>
      </c>
      <c r="H31" s="14">
        <v>0</v>
      </c>
      <c r="I31" s="41">
        <v>0</v>
      </c>
      <c r="J31" s="42">
        <v>0</v>
      </c>
      <c r="K31" s="65">
        <v>0</v>
      </c>
      <c r="L31" s="66">
        <f t="shared" si="0"/>
        <v>0</v>
      </c>
      <c r="M31" s="60">
        <f t="shared" si="1"/>
        <v>0</v>
      </c>
      <c r="N31" s="67">
        <f>L31+'March 2025'!L31+'Feb 2025'!K31</f>
        <v>0</v>
      </c>
      <c r="O31" s="62">
        <f t="shared" si="2"/>
        <v>0</v>
      </c>
    </row>
    <row r="32" spans="1:15" ht="15" x14ac:dyDescent="0.15">
      <c r="A32" s="5">
        <v>24</v>
      </c>
      <c r="B32" s="12" t="s">
        <v>62</v>
      </c>
      <c r="C32" s="12" t="s">
        <v>63</v>
      </c>
      <c r="D32" s="63">
        <v>9</v>
      </c>
      <c r="E32" s="14">
        <v>7</v>
      </c>
      <c r="F32" s="14">
        <v>5</v>
      </c>
      <c r="G32" s="64">
        <v>0</v>
      </c>
      <c r="H32" s="14">
        <v>6</v>
      </c>
      <c r="I32" s="41">
        <v>9</v>
      </c>
      <c r="J32" s="42">
        <v>3</v>
      </c>
      <c r="K32" s="65">
        <v>0</v>
      </c>
      <c r="L32" s="66">
        <f t="shared" si="0"/>
        <v>39</v>
      </c>
      <c r="M32" s="60">
        <f t="shared" si="1"/>
        <v>69.642857142857139</v>
      </c>
      <c r="N32" s="67">
        <f>L32+'March 2025'!L32+'Feb 2025'!K32</f>
        <v>94</v>
      </c>
      <c r="O32" s="62">
        <f t="shared" si="2"/>
        <v>0.65734265734265729</v>
      </c>
    </row>
    <row r="33" spans="1:15" ht="15" x14ac:dyDescent="0.15">
      <c r="A33" s="5">
        <v>25</v>
      </c>
      <c r="B33" s="6" t="s">
        <v>64</v>
      </c>
      <c r="C33" s="6" t="s">
        <v>65</v>
      </c>
      <c r="D33" s="63">
        <v>3</v>
      </c>
      <c r="E33" s="14">
        <v>2</v>
      </c>
      <c r="F33" s="14">
        <v>0</v>
      </c>
      <c r="G33" s="14">
        <v>2</v>
      </c>
      <c r="H33" s="14">
        <v>0</v>
      </c>
      <c r="I33" s="41">
        <v>2</v>
      </c>
      <c r="J33" s="42">
        <v>0</v>
      </c>
      <c r="K33" s="65">
        <v>0</v>
      </c>
      <c r="L33" s="66">
        <f t="shared" si="0"/>
        <v>9</v>
      </c>
      <c r="M33" s="60">
        <f t="shared" si="1"/>
        <v>16.071428571428573</v>
      </c>
      <c r="N33" s="67">
        <f>L33+'March 2025'!L33+'Feb 2025'!K33</f>
        <v>10</v>
      </c>
      <c r="O33" s="62">
        <f t="shared" si="2"/>
        <v>6.9930069930069935E-2</v>
      </c>
    </row>
    <row r="34" spans="1:15" ht="15" x14ac:dyDescent="0.15">
      <c r="A34" s="5">
        <v>26</v>
      </c>
      <c r="B34" s="12" t="s">
        <v>66</v>
      </c>
      <c r="C34" s="12" t="s">
        <v>67</v>
      </c>
      <c r="D34" s="63">
        <v>2</v>
      </c>
      <c r="E34" s="14">
        <v>0</v>
      </c>
      <c r="F34" s="14">
        <v>1</v>
      </c>
      <c r="G34" s="14">
        <v>2</v>
      </c>
      <c r="H34" s="14">
        <v>4</v>
      </c>
      <c r="I34" s="41">
        <v>4</v>
      </c>
      <c r="J34" s="42">
        <v>2</v>
      </c>
      <c r="K34" s="65">
        <v>0</v>
      </c>
      <c r="L34" s="66">
        <f t="shared" si="0"/>
        <v>15</v>
      </c>
      <c r="M34" s="60">
        <f t="shared" si="1"/>
        <v>26.785714285714285</v>
      </c>
      <c r="N34" s="67">
        <f>L34+'March 2025'!L34+'Feb 2025'!K34</f>
        <v>35</v>
      </c>
      <c r="O34" s="62">
        <f t="shared" si="2"/>
        <v>0.24475524475524477</v>
      </c>
    </row>
    <row r="35" spans="1:15" ht="15" x14ac:dyDescent="0.15">
      <c r="A35" s="5">
        <v>27</v>
      </c>
      <c r="B35" s="6" t="s">
        <v>68</v>
      </c>
      <c r="C35" s="6" t="s">
        <v>69</v>
      </c>
      <c r="D35" s="63">
        <v>9</v>
      </c>
      <c r="E35" s="14">
        <v>7</v>
      </c>
      <c r="F35" s="14">
        <v>4</v>
      </c>
      <c r="G35" s="64">
        <v>0</v>
      </c>
      <c r="H35" s="14">
        <v>4</v>
      </c>
      <c r="I35" s="41">
        <v>5</v>
      </c>
      <c r="J35" s="42">
        <v>0</v>
      </c>
      <c r="K35" s="65">
        <v>2</v>
      </c>
      <c r="L35" s="66">
        <f t="shared" si="0"/>
        <v>31</v>
      </c>
      <c r="M35" s="60">
        <f t="shared" si="1"/>
        <v>55.357142857142861</v>
      </c>
      <c r="N35" s="67">
        <f>L35+'March 2025'!L35+'Feb 2025'!K35</f>
        <v>74</v>
      </c>
      <c r="O35" s="62">
        <f t="shared" si="2"/>
        <v>0.5174825174825175</v>
      </c>
    </row>
    <row r="36" spans="1:15" ht="15" x14ac:dyDescent="0.15">
      <c r="A36" s="5">
        <v>28</v>
      </c>
      <c r="B36" s="12" t="s">
        <v>70</v>
      </c>
      <c r="C36" s="12" t="s">
        <v>71</v>
      </c>
      <c r="D36" s="63">
        <v>8</v>
      </c>
      <c r="E36" s="14">
        <v>10</v>
      </c>
      <c r="F36" s="14">
        <v>3</v>
      </c>
      <c r="G36" s="14">
        <v>2</v>
      </c>
      <c r="H36" s="14">
        <v>4</v>
      </c>
      <c r="I36" s="41">
        <v>2</v>
      </c>
      <c r="J36" s="42">
        <v>2</v>
      </c>
      <c r="K36" s="65">
        <v>1</v>
      </c>
      <c r="L36" s="66">
        <f t="shared" si="0"/>
        <v>32</v>
      </c>
      <c r="M36" s="60">
        <f t="shared" si="1"/>
        <v>57.142857142857139</v>
      </c>
      <c r="N36" s="67">
        <f>L36+'March 2025'!L36+'Feb 2025'!K36</f>
        <v>57</v>
      </c>
      <c r="O36" s="62">
        <f t="shared" si="2"/>
        <v>0.39860139860139859</v>
      </c>
    </row>
    <row r="37" spans="1:15" ht="15" x14ac:dyDescent="0.15">
      <c r="A37" s="5">
        <v>29</v>
      </c>
      <c r="B37" s="6" t="s">
        <v>72</v>
      </c>
      <c r="C37" s="6" t="s">
        <v>73</v>
      </c>
      <c r="D37" s="63">
        <v>5</v>
      </c>
      <c r="E37" s="14">
        <v>4</v>
      </c>
      <c r="F37" s="14">
        <v>1</v>
      </c>
      <c r="G37" s="14">
        <v>2</v>
      </c>
      <c r="H37" s="14">
        <v>3</v>
      </c>
      <c r="I37" s="41">
        <v>4</v>
      </c>
      <c r="J37" s="42">
        <v>0</v>
      </c>
      <c r="K37" s="65">
        <v>0</v>
      </c>
      <c r="L37" s="66">
        <f t="shared" si="0"/>
        <v>19</v>
      </c>
      <c r="M37" s="60">
        <f t="shared" si="1"/>
        <v>33.928571428571431</v>
      </c>
      <c r="N37" s="67">
        <f>L37+'March 2025'!L37+'Feb 2025'!K37</f>
        <v>46</v>
      </c>
      <c r="O37" s="62">
        <f t="shared" si="2"/>
        <v>0.32167832167832167</v>
      </c>
    </row>
    <row r="38" spans="1:15" ht="15" x14ac:dyDescent="0.15">
      <c r="A38" s="5">
        <v>30</v>
      </c>
      <c r="B38" s="12" t="s">
        <v>74</v>
      </c>
      <c r="C38" s="12" t="s">
        <v>75</v>
      </c>
      <c r="D38" s="63">
        <v>6</v>
      </c>
      <c r="E38" s="14">
        <v>4</v>
      </c>
      <c r="F38" s="14">
        <v>1</v>
      </c>
      <c r="G38" s="14">
        <v>2</v>
      </c>
      <c r="H38" s="14">
        <v>1</v>
      </c>
      <c r="I38" s="41">
        <v>2</v>
      </c>
      <c r="J38" s="42">
        <v>1</v>
      </c>
      <c r="K38" s="65">
        <v>0</v>
      </c>
      <c r="L38" s="66">
        <f t="shared" si="0"/>
        <v>17</v>
      </c>
      <c r="M38" s="60">
        <f t="shared" si="1"/>
        <v>30.357142857142854</v>
      </c>
      <c r="N38" s="67">
        <f>L38+'March 2025'!L38+'Feb 2025'!K38</f>
        <v>55</v>
      </c>
      <c r="O38" s="62">
        <f t="shared" si="2"/>
        <v>0.38461538461538464</v>
      </c>
    </row>
    <row r="39" spans="1:15" ht="15" x14ac:dyDescent="0.15">
      <c r="A39" s="5">
        <v>31</v>
      </c>
      <c r="B39" s="6" t="s">
        <v>76</v>
      </c>
      <c r="C39" s="6" t="s">
        <v>77</v>
      </c>
      <c r="D39" s="63">
        <v>7</v>
      </c>
      <c r="E39" s="14">
        <v>6</v>
      </c>
      <c r="F39" s="14">
        <v>1</v>
      </c>
      <c r="G39" s="14">
        <v>4</v>
      </c>
      <c r="H39" s="14">
        <v>2</v>
      </c>
      <c r="I39" s="41">
        <v>4</v>
      </c>
      <c r="J39" s="42">
        <v>4</v>
      </c>
      <c r="K39" s="65">
        <v>0</v>
      </c>
      <c r="L39" s="66">
        <f t="shared" si="0"/>
        <v>28</v>
      </c>
      <c r="M39" s="60">
        <f t="shared" si="1"/>
        <v>50</v>
      </c>
      <c r="N39" s="67">
        <f>L39+'March 2025'!L39+'Feb 2025'!K39</f>
        <v>57</v>
      </c>
      <c r="O39" s="62">
        <f t="shared" si="2"/>
        <v>0.39860139860139859</v>
      </c>
    </row>
    <row r="40" spans="1:15" ht="15" x14ac:dyDescent="0.15">
      <c r="A40" s="5">
        <v>32</v>
      </c>
      <c r="B40" s="12" t="s">
        <v>78</v>
      </c>
      <c r="C40" s="12" t="s">
        <v>79</v>
      </c>
      <c r="D40" s="63">
        <v>6</v>
      </c>
      <c r="E40" s="14">
        <v>6</v>
      </c>
      <c r="F40" s="14">
        <v>3</v>
      </c>
      <c r="G40" s="64">
        <v>0</v>
      </c>
      <c r="H40" s="14">
        <v>6</v>
      </c>
      <c r="I40" s="41">
        <v>7</v>
      </c>
      <c r="J40" s="42">
        <v>2</v>
      </c>
      <c r="K40" s="65">
        <v>1</v>
      </c>
      <c r="L40" s="66">
        <f t="shared" si="0"/>
        <v>31</v>
      </c>
      <c r="M40" s="60">
        <f t="shared" si="1"/>
        <v>55.357142857142861</v>
      </c>
      <c r="N40" s="67">
        <f>L40+'March 2025'!L40+'Feb 2025'!K40</f>
        <v>60</v>
      </c>
      <c r="O40" s="62">
        <f t="shared" si="2"/>
        <v>0.41958041958041958</v>
      </c>
    </row>
    <row r="41" spans="1:15" ht="15" x14ac:dyDescent="0.15">
      <c r="A41" s="5">
        <v>33</v>
      </c>
      <c r="B41" s="6" t="s">
        <v>80</v>
      </c>
      <c r="C41" s="6" t="s">
        <v>81</v>
      </c>
      <c r="D41" s="63">
        <v>8</v>
      </c>
      <c r="E41" s="14">
        <v>3</v>
      </c>
      <c r="F41" s="14">
        <v>3</v>
      </c>
      <c r="G41" s="64">
        <v>0</v>
      </c>
      <c r="H41" s="14">
        <v>2</v>
      </c>
      <c r="I41" s="41">
        <v>2</v>
      </c>
      <c r="J41" s="42">
        <v>0</v>
      </c>
      <c r="K41" s="65">
        <v>0</v>
      </c>
      <c r="L41" s="66">
        <f t="shared" si="0"/>
        <v>18</v>
      </c>
      <c r="M41" s="60">
        <f t="shared" si="1"/>
        <v>32.142857142857146</v>
      </c>
      <c r="N41" s="67">
        <f>L41+'March 2025'!L41+'Feb 2025'!K41</f>
        <v>24</v>
      </c>
      <c r="O41" s="62">
        <f t="shared" si="2"/>
        <v>0.16783216783216784</v>
      </c>
    </row>
    <row r="42" spans="1:15" ht="15" x14ac:dyDescent="0.15">
      <c r="A42" s="5">
        <v>34</v>
      </c>
      <c r="B42" s="12" t="s">
        <v>82</v>
      </c>
      <c r="C42" s="12" t="s">
        <v>83</v>
      </c>
      <c r="D42" s="63">
        <v>6</v>
      </c>
      <c r="E42" s="14">
        <v>4</v>
      </c>
      <c r="F42" s="14">
        <v>4</v>
      </c>
      <c r="G42" s="14">
        <v>4</v>
      </c>
      <c r="H42" s="14">
        <v>2</v>
      </c>
      <c r="I42" s="41">
        <v>3</v>
      </c>
      <c r="J42" s="42">
        <v>4</v>
      </c>
      <c r="K42" s="65">
        <v>0</v>
      </c>
      <c r="L42" s="66">
        <f t="shared" si="0"/>
        <v>27</v>
      </c>
      <c r="M42" s="60">
        <f t="shared" si="1"/>
        <v>48.214285714285715</v>
      </c>
      <c r="N42" s="67">
        <f>L42+'March 2025'!L42+'Feb 2025'!K42</f>
        <v>43</v>
      </c>
      <c r="O42" s="62">
        <f t="shared" si="2"/>
        <v>0.30069930069930068</v>
      </c>
    </row>
    <row r="43" spans="1:15" ht="15" x14ac:dyDescent="0.15">
      <c r="A43" s="5">
        <v>35</v>
      </c>
      <c r="B43" s="6" t="s">
        <v>84</v>
      </c>
      <c r="C43" s="6" t="s">
        <v>85</v>
      </c>
      <c r="D43" s="63">
        <v>10</v>
      </c>
      <c r="E43" s="14">
        <v>10</v>
      </c>
      <c r="F43" s="14">
        <v>4</v>
      </c>
      <c r="G43" s="14">
        <v>4</v>
      </c>
      <c r="H43" s="14">
        <v>7</v>
      </c>
      <c r="I43" s="41">
        <v>6</v>
      </c>
      <c r="J43" s="42">
        <v>5</v>
      </c>
      <c r="K43" s="65">
        <v>1</v>
      </c>
      <c r="L43" s="66">
        <f t="shared" si="0"/>
        <v>47</v>
      </c>
      <c r="M43" s="60">
        <f t="shared" si="1"/>
        <v>83.928571428571431</v>
      </c>
      <c r="N43" s="67">
        <f>L43+'March 2025'!L43+'Feb 2025'!K43</f>
        <v>48</v>
      </c>
      <c r="O43" s="62">
        <f t="shared" si="2"/>
        <v>0.33566433566433568</v>
      </c>
    </row>
    <row r="44" spans="1:15" ht="15" x14ac:dyDescent="0.15">
      <c r="A44" s="5">
        <v>36</v>
      </c>
      <c r="B44" s="12" t="s">
        <v>86</v>
      </c>
      <c r="C44" s="12" t="s">
        <v>87</v>
      </c>
      <c r="D44" s="63">
        <v>0</v>
      </c>
      <c r="E44" s="14">
        <v>0</v>
      </c>
      <c r="F44" s="14">
        <v>0</v>
      </c>
      <c r="G44" s="64">
        <v>0</v>
      </c>
      <c r="H44" s="14">
        <v>0</v>
      </c>
      <c r="I44" s="41">
        <v>0</v>
      </c>
      <c r="J44" s="42">
        <v>2</v>
      </c>
      <c r="K44" s="65">
        <v>0</v>
      </c>
      <c r="L44" s="66">
        <f t="shared" si="0"/>
        <v>2</v>
      </c>
      <c r="M44" s="60">
        <f t="shared" si="1"/>
        <v>3.5714285714285712</v>
      </c>
      <c r="N44" s="67">
        <f>L44+'March 2025'!L44+'Feb 2025'!K44</f>
        <v>2</v>
      </c>
      <c r="O44" s="62">
        <f t="shared" si="2"/>
        <v>1.3986013986013986E-2</v>
      </c>
    </row>
    <row r="45" spans="1:15" ht="15" x14ac:dyDescent="0.15">
      <c r="A45" s="5">
        <v>37</v>
      </c>
      <c r="B45" s="6" t="s">
        <v>88</v>
      </c>
      <c r="C45" s="6" t="s">
        <v>89</v>
      </c>
      <c r="D45" s="63">
        <v>5</v>
      </c>
      <c r="E45" s="14">
        <v>6</v>
      </c>
      <c r="F45" s="14">
        <v>2</v>
      </c>
      <c r="G45" s="64">
        <v>0</v>
      </c>
      <c r="H45" s="14">
        <v>5</v>
      </c>
      <c r="I45" s="41">
        <v>4</v>
      </c>
      <c r="J45" s="42">
        <v>0</v>
      </c>
      <c r="K45" s="65">
        <v>0</v>
      </c>
      <c r="L45" s="66">
        <f t="shared" si="0"/>
        <v>22</v>
      </c>
      <c r="M45" s="60">
        <f t="shared" si="1"/>
        <v>39.285714285714285</v>
      </c>
      <c r="N45" s="67">
        <f>L45+'March 2025'!L45+'Feb 2025'!K45</f>
        <v>40</v>
      </c>
      <c r="O45" s="62">
        <f t="shared" si="2"/>
        <v>0.27972027972027974</v>
      </c>
    </row>
    <row r="46" spans="1:15" ht="27.75" x14ac:dyDescent="0.2">
      <c r="A46" s="5">
        <v>38</v>
      </c>
      <c r="B46" s="12" t="s">
        <v>90</v>
      </c>
      <c r="C46" s="44" t="s">
        <v>91</v>
      </c>
      <c r="D46" s="63">
        <v>4</v>
      </c>
      <c r="E46" s="14">
        <v>5</v>
      </c>
      <c r="F46" s="14">
        <v>0</v>
      </c>
      <c r="G46" s="64">
        <v>0</v>
      </c>
      <c r="H46" s="14">
        <v>1</v>
      </c>
      <c r="I46" s="41">
        <v>2</v>
      </c>
      <c r="J46" s="42">
        <v>2</v>
      </c>
      <c r="K46" s="65">
        <v>0</v>
      </c>
      <c r="L46" s="66">
        <f t="shared" si="0"/>
        <v>14</v>
      </c>
      <c r="M46" s="60">
        <f t="shared" si="1"/>
        <v>25</v>
      </c>
      <c r="N46" s="67">
        <f>L46+'March 2025'!L46+'Feb 2025'!K46</f>
        <v>27</v>
      </c>
      <c r="O46" s="62">
        <f t="shared" si="2"/>
        <v>0.1888111888111888</v>
      </c>
    </row>
    <row r="47" spans="1:15" ht="15" x14ac:dyDescent="0.15">
      <c r="A47" s="5">
        <v>39</v>
      </c>
      <c r="B47" s="6" t="s">
        <v>92</v>
      </c>
      <c r="C47" s="6" t="s">
        <v>93</v>
      </c>
      <c r="D47" s="63">
        <v>8</v>
      </c>
      <c r="E47" s="14">
        <v>8</v>
      </c>
      <c r="F47" s="14">
        <v>5</v>
      </c>
      <c r="G47" s="64">
        <v>0</v>
      </c>
      <c r="H47" s="14">
        <v>5</v>
      </c>
      <c r="I47" s="41">
        <v>6</v>
      </c>
      <c r="J47" s="42">
        <v>5</v>
      </c>
      <c r="K47" s="65">
        <v>1</v>
      </c>
      <c r="L47" s="66">
        <f t="shared" si="0"/>
        <v>38</v>
      </c>
      <c r="M47" s="60">
        <f t="shared" si="1"/>
        <v>67.857142857142861</v>
      </c>
      <c r="N47" s="67">
        <f>L47+'March 2025'!L47+'Feb 2025'!K47</f>
        <v>39</v>
      </c>
      <c r="O47" s="62">
        <f t="shared" si="2"/>
        <v>0.27272727272727271</v>
      </c>
    </row>
    <row r="48" spans="1:15" ht="15" x14ac:dyDescent="0.15">
      <c r="A48" s="5">
        <v>40</v>
      </c>
      <c r="B48" s="12" t="s">
        <v>94</v>
      </c>
      <c r="C48" s="12" t="s">
        <v>95</v>
      </c>
      <c r="D48" s="63">
        <v>1</v>
      </c>
      <c r="E48" s="14">
        <v>1</v>
      </c>
      <c r="F48" s="14">
        <v>0</v>
      </c>
      <c r="G48" s="64">
        <v>0</v>
      </c>
      <c r="H48" s="14">
        <v>0</v>
      </c>
      <c r="I48" s="41">
        <v>3</v>
      </c>
      <c r="J48" s="42">
        <v>0</v>
      </c>
      <c r="K48" s="65">
        <v>0</v>
      </c>
      <c r="L48" s="66">
        <f t="shared" si="0"/>
        <v>5</v>
      </c>
      <c r="M48" s="60">
        <f t="shared" si="1"/>
        <v>8.9285714285714288</v>
      </c>
      <c r="N48" s="67">
        <f>L48+'March 2025'!L48+'Feb 2025'!K48</f>
        <v>6</v>
      </c>
      <c r="O48" s="62">
        <f t="shared" si="2"/>
        <v>4.195804195804196E-2</v>
      </c>
    </row>
    <row r="49" spans="1:15" ht="15" x14ac:dyDescent="0.15">
      <c r="A49" s="5">
        <v>41</v>
      </c>
      <c r="B49" s="6" t="s">
        <v>96</v>
      </c>
      <c r="C49" s="6" t="s">
        <v>97</v>
      </c>
      <c r="D49" s="63">
        <v>7</v>
      </c>
      <c r="E49" s="14">
        <v>6</v>
      </c>
      <c r="F49" s="14">
        <v>1</v>
      </c>
      <c r="G49" s="64">
        <v>0</v>
      </c>
      <c r="H49" s="14">
        <v>1</v>
      </c>
      <c r="I49" s="41">
        <v>3</v>
      </c>
      <c r="J49" s="42">
        <v>4</v>
      </c>
      <c r="K49" s="65">
        <v>0</v>
      </c>
      <c r="L49" s="66">
        <f t="shared" si="0"/>
        <v>22</v>
      </c>
      <c r="M49" s="60">
        <f t="shared" si="1"/>
        <v>39.285714285714285</v>
      </c>
      <c r="N49" s="67">
        <f>L49+'March 2025'!L49+'Feb 2025'!K49</f>
        <v>28</v>
      </c>
      <c r="O49" s="62">
        <f t="shared" si="2"/>
        <v>0.19580419580419581</v>
      </c>
    </row>
    <row r="50" spans="1:15" ht="15" x14ac:dyDescent="0.15">
      <c r="A50" s="5">
        <v>42</v>
      </c>
      <c r="B50" s="12" t="s">
        <v>98</v>
      </c>
      <c r="C50" s="12" t="s">
        <v>99</v>
      </c>
      <c r="D50" s="63">
        <v>9</v>
      </c>
      <c r="E50" s="14">
        <v>3</v>
      </c>
      <c r="F50" s="14">
        <v>5</v>
      </c>
      <c r="G50" s="14">
        <v>4</v>
      </c>
      <c r="H50" s="14">
        <v>2</v>
      </c>
      <c r="I50" s="41">
        <v>6</v>
      </c>
      <c r="J50" s="42">
        <v>4</v>
      </c>
      <c r="K50" s="65">
        <v>1</v>
      </c>
      <c r="L50" s="66">
        <f t="shared" si="0"/>
        <v>34</v>
      </c>
      <c r="M50" s="60">
        <f t="shared" si="1"/>
        <v>60.714285714285708</v>
      </c>
      <c r="N50" s="67">
        <f>L50+'March 2025'!L50+'Feb 2025'!K50</f>
        <v>58</v>
      </c>
      <c r="O50" s="62">
        <f t="shared" si="2"/>
        <v>0.40559440559440557</v>
      </c>
    </row>
    <row r="51" spans="1:15" ht="15" x14ac:dyDescent="0.15">
      <c r="A51" s="5">
        <v>43</v>
      </c>
      <c r="B51" s="6" t="s">
        <v>100</v>
      </c>
      <c r="C51" s="6" t="s">
        <v>101</v>
      </c>
      <c r="D51" s="63">
        <v>8</v>
      </c>
      <c r="E51" s="14">
        <v>6</v>
      </c>
      <c r="F51" s="14">
        <v>5</v>
      </c>
      <c r="G51" s="64">
        <v>0</v>
      </c>
      <c r="H51" s="14">
        <v>0</v>
      </c>
      <c r="I51" s="41">
        <v>9</v>
      </c>
      <c r="J51" s="42">
        <v>2</v>
      </c>
      <c r="K51" s="65">
        <v>0</v>
      </c>
      <c r="L51" s="66">
        <f t="shared" si="0"/>
        <v>30</v>
      </c>
      <c r="M51" s="60">
        <f t="shared" si="1"/>
        <v>53.571428571428569</v>
      </c>
      <c r="N51" s="67">
        <f>L51+'March 2025'!L51+'Feb 2025'!K51</f>
        <v>83</v>
      </c>
      <c r="O51" s="62">
        <f t="shared" si="2"/>
        <v>0.58041958041958042</v>
      </c>
    </row>
    <row r="52" spans="1:15" ht="15" x14ac:dyDescent="0.15">
      <c r="A52" s="5">
        <v>44</v>
      </c>
      <c r="B52" s="12" t="s">
        <v>102</v>
      </c>
      <c r="C52" s="12" t="s">
        <v>103</v>
      </c>
      <c r="D52" s="63">
        <v>7</v>
      </c>
      <c r="E52" s="14">
        <v>7</v>
      </c>
      <c r="F52" s="14">
        <v>3</v>
      </c>
      <c r="G52" s="14">
        <v>4</v>
      </c>
      <c r="H52" s="14">
        <v>6</v>
      </c>
      <c r="I52" s="41">
        <v>3</v>
      </c>
      <c r="J52" s="42">
        <v>2</v>
      </c>
      <c r="K52" s="65">
        <v>0</v>
      </c>
      <c r="L52" s="66">
        <f t="shared" si="0"/>
        <v>32</v>
      </c>
      <c r="M52" s="60">
        <f t="shared" si="1"/>
        <v>57.142857142857139</v>
      </c>
      <c r="N52" s="67">
        <f>L52+'March 2025'!L52+'Feb 2025'!K52</f>
        <v>66</v>
      </c>
      <c r="O52" s="62">
        <f t="shared" si="2"/>
        <v>0.46153846153846156</v>
      </c>
    </row>
    <row r="53" spans="1:15" ht="15" x14ac:dyDescent="0.15">
      <c r="A53" s="5">
        <v>45</v>
      </c>
      <c r="B53" s="6" t="s">
        <v>104</v>
      </c>
      <c r="C53" s="6" t="s">
        <v>105</v>
      </c>
      <c r="D53" s="63">
        <v>3</v>
      </c>
      <c r="E53" s="14">
        <v>1</v>
      </c>
      <c r="F53" s="14">
        <v>1</v>
      </c>
      <c r="G53" s="14">
        <v>2</v>
      </c>
      <c r="H53" s="14">
        <v>3</v>
      </c>
      <c r="I53" s="41">
        <v>5</v>
      </c>
      <c r="J53" s="42">
        <v>1</v>
      </c>
      <c r="K53" s="65">
        <v>0</v>
      </c>
      <c r="L53" s="66">
        <f t="shared" si="0"/>
        <v>16</v>
      </c>
      <c r="M53" s="60">
        <f t="shared" si="1"/>
        <v>28.571428571428569</v>
      </c>
      <c r="N53" s="67">
        <f>L53+'March 2025'!L53+'Feb 2025'!K53</f>
        <v>46</v>
      </c>
      <c r="O53" s="62">
        <f t="shared" si="2"/>
        <v>0.32167832167832167</v>
      </c>
    </row>
    <row r="54" spans="1:15" ht="15" x14ac:dyDescent="0.15">
      <c r="A54" s="5">
        <v>46</v>
      </c>
      <c r="B54" s="12" t="s">
        <v>106</v>
      </c>
      <c r="C54" s="12" t="s">
        <v>107</v>
      </c>
      <c r="D54" s="63">
        <v>8</v>
      </c>
      <c r="E54" s="14">
        <v>7</v>
      </c>
      <c r="F54" s="14">
        <v>6</v>
      </c>
      <c r="G54" s="64">
        <v>0</v>
      </c>
      <c r="H54" s="14">
        <v>2</v>
      </c>
      <c r="I54" s="41">
        <v>5</v>
      </c>
      <c r="J54" s="42">
        <v>3</v>
      </c>
      <c r="K54" s="65">
        <v>1</v>
      </c>
      <c r="L54" s="66">
        <f t="shared" si="0"/>
        <v>32</v>
      </c>
      <c r="M54" s="60">
        <f t="shared" si="1"/>
        <v>57.142857142857139</v>
      </c>
      <c r="N54" s="67">
        <f>L54+'March 2025'!L54+'Feb 2025'!K54</f>
        <v>73</v>
      </c>
      <c r="O54" s="62">
        <f t="shared" si="2"/>
        <v>0.51048951048951052</v>
      </c>
    </row>
    <row r="55" spans="1:15" ht="15" x14ac:dyDescent="0.15">
      <c r="A55" s="5">
        <v>47</v>
      </c>
      <c r="B55" s="6" t="s">
        <v>108</v>
      </c>
      <c r="C55" s="6" t="s">
        <v>109</v>
      </c>
      <c r="D55" s="63">
        <v>0</v>
      </c>
      <c r="E55" s="14">
        <v>0</v>
      </c>
      <c r="F55" s="14">
        <v>0</v>
      </c>
      <c r="G55" s="14">
        <v>2</v>
      </c>
      <c r="H55" s="14">
        <v>6</v>
      </c>
      <c r="I55" s="41">
        <v>0</v>
      </c>
      <c r="J55" s="42">
        <v>2</v>
      </c>
      <c r="K55" s="65">
        <v>0</v>
      </c>
      <c r="L55" s="66">
        <f t="shared" si="0"/>
        <v>10</v>
      </c>
      <c r="M55" s="60">
        <f t="shared" si="1"/>
        <v>17.857142857142858</v>
      </c>
      <c r="N55" s="67">
        <f>L55+'March 2025'!L55+'Feb 2025'!K55</f>
        <v>19</v>
      </c>
      <c r="O55" s="62">
        <f t="shared" si="2"/>
        <v>0.13286713286713286</v>
      </c>
    </row>
    <row r="56" spans="1:15" ht="15" x14ac:dyDescent="0.15">
      <c r="A56" s="5">
        <v>48</v>
      </c>
      <c r="B56" s="12" t="s">
        <v>110</v>
      </c>
      <c r="C56" s="12" t="s">
        <v>111</v>
      </c>
      <c r="D56" s="63">
        <v>4</v>
      </c>
      <c r="E56" s="14">
        <v>1</v>
      </c>
      <c r="F56" s="14">
        <v>1</v>
      </c>
      <c r="G56" s="64">
        <v>0</v>
      </c>
      <c r="H56" s="14">
        <v>0</v>
      </c>
      <c r="I56" s="41">
        <v>2</v>
      </c>
      <c r="J56" s="42">
        <v>1</v>
      </c>
      <c r="K56" s="65">
        <v>0</v>
      </c>
      <c r="L56" s="66">
        <f t="shared" si="0"/>
        <v>9</v>
      </c>
      <c r="M56" s="60">
        <f t="shared" si="1"/>
        <v>16.071428571428573</v>
      </c>
      <c r="N56" s="67">
        <f>L56+'March 2025'!L56+'Feb 2025'!K56</f>
        <v>9</v>
      </c>
      <c r="O56" s="62">
        <f t="shared" si="2"/>
        <v>6.2937062937062943E-2</v>
      </c>
    </row>
    <row r="57" spans="1:15" ht="15" x14ac:dyDescent="0.15">
      <c r="A57" s="5">
        <v>49</v>
      </c>
      <c r="B57" s="6" t="s">
        <v>112</v>
      </c>
      <c r="C57" s="6" t="s">
        <v>113</v>
      </c>
      <c r="D57" s="63">
        <v>0</v>
      </c>
      <c r="E57" s="14">
        <v>0</v>
      </c>
      <c r="F57" s="14">
        <v>0</v>
      </c>
      <c r="G57" s="64">
        <v>0</v>
      </c>
      <c r="H57" s="14">
        <v>0</v>
      </c>
      <c r="I57" s="41">
        <v>0</v>
      </c>
      <c r="J57" s="42">
        <v>0</v>
      </c>
      <c r="K57" s="65">
        <v>0</v>
      </c>
      <c r="L57" s="66">
        <f t="shared" si="0"/>
        <v>0</v>
      </c>
      <c r="M57" s="60">
        <f t="shared" si="1"/>
        <v>0</v>
      </c>
      <c r="N57" s="67">
        <f>L57+'March 2025'!L57+'Feb 2025'!K57</f>
        <v>0</v>
      </c>
      <c r="O57" s="62">
        <f t="shared" si="2"/>
        <v>0</v>
      </c>
    </row>
    <row r="58" spans="1:15" ht="15" x14ac:dyDescent="0.15">
      <c r="A58" s="5">
        <v>50</v>
      </c>
      <c r="B58" s="12" t="s">
        <v>114</v>
      </c>
      <c r="C58" s="12" t="s">
        <v>115</v>
      </c>
      <c r="D58" s="63">
        <v>6</v>
      </c>
      <c r="E58" s="14">
        <v>5</v>
      </c>
      <c r="F58" s="14">
        <v>3</v>
      </c>
      <c r="G58" s="64">
        <v>0</v>
      </c>
      <c r="H58" s="14">
        <v>5</v>
      </c>
      <c r="I58" s="41">
        <v>1</v>
      </c>
      <c r="J58" s="42">
        <v>1</v>
      </c>
      <c r="K58" s="65">
        <v>0</v>
      </c>
      <c r="L58" s="66">
        <f t="shared" si="0"/>
        <v>21</v>
      </c>
      <c r="M58" s="60">
        <f t="shared" si="1"/>
        <v>37.5</v>
      </c>
      <c r="N58" s="67">
        <f>L58+'March 2025'!L58+'Feb 2025'!K58</f>
        <v>29</v>
      </c>
      <c r="O58" s="62">
        <f t="shared" si="2"/>
        <v>0.20279720279720279</v>
      </c>
    </row>
    <row r="59" spans="1:15" ht="15" x14ac:dyDescent="0.15">
      <c r="A59" s="5">
        <v>51</v>
      </c>
      <c r="B59" s="6" t="s">
        <v>116</v>
      </c>
      <c r="C59" s="6" t="s">
        <v>117</v>
      </c>
      <c r="D59" s="63">
        <v>1</v>
      </c>
      <c r="E59" s="14">
        <v>2</v>
      </c>
      <c r="F59" s="14">
        <v>2</v>
      </c>
      <c r="G59" s="64">
        <v>0</v>
      </c>
      <c r="H59" s="14">
        <v>0</v>
      </c>
      <c r="I59" s="41">
        <v>3</v>
      </c>
      <c r="J59" s="42">
        <v>1</v>
      </c>
      <c r="K59" s="65">
        <v>0</v>
      </c>
      <c r="L59" s="66">
        <f t="shared" si="0"/>
        <v>9</v>
      </c>
      <c r="M59" s="60">
        <f t="shared" si="1"/>
        <v>16.071428571428573</v>
      </c>
      <c r="N59" s="67">
        <f>L59+'March 2025'!L59+'Feb 2025'!K59</f>
        <v>18</v>
      </c>
      <c r="O59" s="62">
        <f t="shared" si="2"/>
        <v>0.12587412587412589</v>
      </c>
    </row>
    <row r="60" spans="1:15" ht="15" x14ac:dyDescent="0.15">
      <c r="A60" s="5">
        <v>52</v>
      </c>
      <c r="B60" s="12" t="s">
        <v>118</v>
      </c>
      <c r="C60" s="12" t="s">
        <v>119</v>
      </c>
      <c r="D60" s="63">
        <v>9</v>
      </c>
      <c r="E60" s="14">
        <v>9</v>
      </c>
      <c r="F60" s="14">
        <v>2</v>
      </c>
      <c r="G60" s="14">
        <v>4</v>
      </c>
      <c r="H60" s="14">
        <v>6</v>
      </c>
      <c r="I60" s="41">
        <v>6</v>
      </c>
      <c r="J60" s="42">
        <v>5</v>
      </c>
      <c r="K60" s="65">
        <v>0</v>
      </c>
      <c r="L60" s="66">
        <f t="shared" si="0"/>
        <v>41</v>
      </c>
      <c r="M60" s="60">
        <f t="shared" si="1"/>
        <v>73.214285714285708</v>
      </c>
      <c r="N60" s="67">
        <f>L60+'March 2025'!L60+'Feb 2025'!K60</f>
        <v>75</v>
      </c>
      <c r="O60" s="62">
        <f t="shared" si="2"/>
        <v>0.52447552447552448</v>
      </c>
    </row>
    <row r="61" spans="1:15" ht="15" x14ac:dyDescent="0.15">
      <c r="A61" s="5">
        <v>53</v>
      </c>
      <c r="B61" s="6" t="s">
        <v>120</v>
      </c>
      <c r="C61" s="6" t="s">
        <v>121</v>
      </c>
      <c r="D61" s="63">
        <v>9</v>
      </c>
      <c r="E61" s="14">
        <v>10</v>
      </c>
      <c r="F61" s="14">
        <v>6</v>
      </c>
      <c r="G61" s="14">
        <v>2</v>
      </c>
      <c r="H61" s="14">
        <v>4</v>
      </c>
      <c r="I61" s="41">
        <v>7</v>
      </c>
      <c r="J61" s="42">
        <v>5</v>
      </c>
      <c r="K61" s="65">
        <v>1</v>
      </c>
      <c r="L61" s="66">
        <f t="shared" si="0"/>
        <v>44</v>
      </c>
      <c r="M61" s="60">
        <f t="shared" si="1"/>
        <v>78.571428571428569</v>
      </c>
      <c r="N61" s="67">
        <f>L61+'March 2025'!L61+'Feb 2025'!K61</f>
        <v>57</v>
      </c>
      <c r="O61" s="62">
        <f t="shared" si="2"/>
        <v>0.39860139860139859</v>
      </c>
    </row>
    <row r="62" spans="1:15" ht="15" x14ac:dyDescent="0.15">
      <c r="A62" s="5">
        <v>54</v>
      </c>
      <c r="B62" s="12" t="s">
        <v>122</v>
      </c>
      <c r="C62" s="12" t="s">
        <v>123</v>
      </c>
      <c r="D62" s="63">
        <v>2</v>
      </c>
      <c r="E62" s="14">
        <v>0</v>
      </c>
      <c r="F62" s="14">
        <v>0</v>
      </c>
      <c r="G62" s="64">
        <v>0</v>
      </c>
      <c r="H62" s="14">
        <v>1</v>
      </c>
      <c r="I62" s="41">
        <v>0</v>
      </c>
      <c r="J62" s="42">
        <v>0</v>
      </c>
      <c r="K62" s="65">
        <v>0</v>
      </c>
      <c r="L62" s="66">
        <f t="shared" si="0"/>
        <v>3</v>
      </c>
      <c r="M62" s="60">
        <f t="shared" si="1"/>
        <v>5.3571428571428568</v>
      </c>
      <c r="N62" s="67">
        <f>L62+'March 2025'!L62+'Feb 2025'!K62</f>
        <v>15</v>
      </c>
      <c r="O62" s="62">
        <f t="shared" si="2"/>
        <v>0.1048951048951049</v>
      </c>
    </row>
    <row r="63" spans="1:15" ht="15" x14ac:dyDescent="0.15">
      <c r="A63" s="5">
        <v>55</v>
      </c>
      <c r="B63" s="6" t="s">
        <v>124</v>
      </c>
      <c r="C63" s="6" t="s">
        <v>125</v>
      </c>
      <c r="D63" s="63">
        <v>10</v>
      </c>
      <c r="E63" s="14">
        <v>8</v>
      </c>
      <c r="F63" s="14">
        <v>6</v>
      </c>
      <c r="G63" s="14">
        <v>2</v>
      </c>
      <c r="H63" s="14">
        <v>6</v>
      </c>
      <c r="I63" s="41">
        <v>5</v>
      </c>
      <c r="J63" s="42">
        <v>4</v>
      </c>
      <c r="K63" s="65">
        <v>1</v>
      </c>
      <c r="L63" s="66">
        <f t="shared" si="0"/>
        <v>42</v>
      </c>
      <c r="M63" s="60">
        <f t="shared" si="1"/>
        <v>75</v>
      </c>
      <c r="N63" s="67">
        <f>L63+'March 2025'!L63+'Feb 2025'!K63</f>
        <v>78</v>
      </c>
      <c r="O63" s="62">
        <f t="shared" si="2"/>
        <v>0.54545454545454541</v>
      </c>
    </row>
    <row r="64" spans="1:15" ht="15" x14ac:dyDescent="0.15">
      <c r="A64" s="5">
        <v>56</v>
      </c>
      <c r="B64" s="12" t="s">
        <v>126</v>
      </c>
      <c r="C64" s="12" t="s">
        <v>127</v>
      </c>
      <c r="D64" s="63">
        <v>4</v>
      </c>
      <c r="E64" s="14">
        <v>3</v>
      </c>
      <c r="F64" s="14">
        <v>0</v>
      </c>
      <c r="G64" s="14">
        <v>2</v>
      </c>
      <c r="H64" s="14">
        <v>0</v>
      </c>
      <c r="I64" s="41">
        <v>2</v>
      </c>
      <c r="J64" s="42">
        <v>3</v>
      </c>
      <c r="K64" s="65">
        <v>0</v>
      </c>
      <c r="L64" s="66">
        <f t="shared" si="0"/>
        <v>14</v>
      </c>
      <c r="M64" s="60">
        <f t="shared" si="1"/>
        <v>25</v>
      </c>
      <c r="N64" s="67">
        <f>L64+'March 2025'!L64+'Feb 2025'!K64</f>
        <v>43</v>
      </c>
      <c r="O64" s="62">
        <f t="shared" si="2"/>
        <v>0.30069930069930068</v>
      </c>
    </row>
    <row r="65" spans="1:15" ht="15" x14ac:dyDescent="0.15">
      <c r="A65" s="5">
        <v>57</v>
      </c>
      <c r="B65" s="6" t="s">
        <v>128</v>
      </c>
      <c r="C65" s="6" t="s">
        <v>129</v>
      </c>
      <c r="D65" s="63">
        <v>8</v>
      </c>
      <c r="E65" s="14">
        <v>9</v>
      </c>
      <c r="F65" s="14">
        <v>3</v>
      </c>
      <c r="G65" s="14">
        <v>2</v>
      </c>
      <c r="H65" s="14">
        <v>5</v>
      </c>
      <c r="I65" s="41">
        <v>7</v>
      </c>
      <c r="J65" s="42">
        <v>5</v>
      </c>
      <c r="K65" s="65">
        <v>1</v>
      </c>
      <c r="L65" s="66">
        <f t="shared" si="0"/>
        <v>40</v>
      </c>
      <c r="M65" s="60">
        <f t="shared" si="1"/>
        <v>71.428571428571431</v>
      </c>
      <c r="N65" s="67">
        <f>L65+'March 2025'!L65+'Feb 2025'!K65</f>
        <v>73</v>
      </c>
      <c r="O65" s="62">
        <f t="shared" si="2"/>
        <v>0.51048951048951052</v>
      </c>
    </row>
    <row r="66" spans="1:15" ht="23.25" x14ac:dyDescent="0.15">
      <c r="A66" s="109" t="s">
        <v>130</v>
      </c>
      <c r="B66" s="96"/>
      <c r="C66" s="110"/>
      <c r="D66" s="46" t="s">
        <v>131</v>
      </c>
      <c r="E66" s="47" t="s">
        <v>151</v>
      </c>
      <c r="F66" s="47" t="s">
        <v>152</v>
      </c>
      <c r="G66" s="48" t="s">
        <v>133</v>
      </c>
      <c r="H66" s="47" t="s">
        <v>134</v>
      </c>
      <c r="I66" s="49" t="s">
        <v>135</v>
      </c>
      <c r="J66" s="50" t="s">
        <v>136</v>
      </c>
      <c r="K66" s="49" t="s">
        <v>153</v>
      </c>
      <c r="L66" s="51"/>
      <c r="M66" s="52"/>
    </row>
    <row r="67" spans="1:15" ht="12.75" x14ac:dyDescent="0.15">
      <c r="A67" s="111"/>
      <c r="B67" s="107"/>
      <c r="C67" s="107"/>
      <c r="D67" s="92"/>
      <c r="E67" s="86"/>
      <c r="F67" s="108"/>
      <c r="G67" s="108"/>
      <c r="H67" s="108"/>
      <c r="I67" s="108"/>
      <c r="J67" s="108"/>
      <c r="K67" s="87"/>
      <c r="L67" s="86"/>
      <c r="M67" s="87"/>
    </row>
    <row r="68" spans="1:15" ht="12.75" x14ac:dyDescent="0.15">
      <c r="A68" s="88"/>
      <c r="B68" s="108"/>
      <c r="C68" s="108"/>
      <c r="D68" s="87"/>
      <c r="E68" s="88"/>
      <c r="F68" s="108"/>
      <c r="G68" s="108"/>
      <c r="H68" s="108"/>
      <c r="I68" s="108"/>
      <c r="J68" s="108"/>
      <c r="K68" s="87"/>
      <c r="L68" s="88"/>
      <c r="M68" s="87"/>
    </row>
    <row r="69" spans="1:15" ht="12.75" x14ac:dyDescent="0.15">
      <c r="A69" s="88"/>
      <c r="B69" s="108"/>
      <c r="C69" s="108"/>
      <c r="D69" s="87"/>
      <c r="E69" s="88"/>
      <c r="F69" s="108"/>
      <c r="G69" s="108"/>
      <c r="H69" s="108"/>
      <c r="I69" s="108"/>
      <c r="J69" s="108"/>
      <c r="K69" s="87"/>
      <c r="L69" s="88"/>
      <c r="M69" s="87"/>
    </row>
    <row r="70" spans="1:15" ht="12.75" x14ac:dyDescent="0.15">
      <c r="A70" s="89"/>
      <c r="B70" s="94"/>
      <c r="C70" s="94"/>
      <c r="D70" s="90"/>
      <c r="E70" s="89"/>
      <c r="F70" s="94"/>
      <c r="G70" s="94"/>
      <c r="H70" s="94"/>
      <c r="I70" s="94"/>
      <c r="J70" s="94"/>
      <c r="K70" s="90"/>
      <c r="L70" s="89"/>
      <c r="M70" s="90"/>
    </row>
    <row r="71" spans="1:15" ht="12.75" x14ac:dyDescent="0.15">
      <c r="A71" s="106" t="s">
        <v>138</v>
      </c>
      <c r="B71" s="107"/>
      <c r="C71" s="107"/>
      <c r="D71" s="92"/>
      <c r="E71" s="106" t="s">
        <v>139</v>
      </c>
      <c r="F71" s="107"/>
      <c r="G71" s="107"/>
      <c r="H71" s="107"/>
      <c r="I71" s="107"/>
      <c r="J71" s="107"/>
      <c r="K71" s="92"/>
      <c r="L71" s="91" t="s">
        <v>140</v>
      </c>
      <c r="M71" s="92"/>
    </row>
    <row r="72" spans="1:15" ht="12.75" x14ac:dyDescent="0.15">
      <c r="A72" s="88"/>
      <c r="B72" s="108"/>
      <c r="C72" s="108"/>
      <c r="D72" s="87"/>
      <c r="E72" s="88"/>
      <c r="F72" s="108"/>
      <c r="G72" s="108"/>
      <c r="H72" s="108"/>
      <c r="I72" s="108"/>
      <c r="J72" s="108"/>
      <c r="K72" s="87"/>
      <c r="L72" s="88"/>
      <c r="M72" s="87"/>
    </row>
    <row r="73" spans="1:15" ht="12.75" x14ac:dyDescent="0.15">
      <c r="A73" s="88"/>
      <c r="B73" s="108"/>
      <c r="C73" s="108"/>
      <c r="D73" s="87"/>
      <c r="E73" s="88"/>
      <c r="F73" s="108"/>
      <c r="G73" s="108"/>
      <c r="H73" s="108"/>
      <c r="I73" s="108"/>
      <c r="J73" s="108"/>
      <c r="K73" s="87"/>
      <c r="L73" s="88"/>
      <c r="M73" s="87"/>
    </row>
    <row r="74" spans="1:15" ht="12.75" x14ac:dyDescent="0.15">
      <c r="A74" s="89"/>
      <c r="B74" s="94"/>
      <c r="C74" s="94"/>
      <c r="D74" s="90"/>
      <c r="E74" s="89"/>
      <c r="F74" s="94"/>
      <c r="G74" s="94"/>
      <c r="H74" s="94"/>
      <c r="I74" s="94"/>
      <c r="J74" s="94"/>
      <c r="K74" s="90"/>
      <c r="L74" s="89"/>
      <c r="M74" s="90"/>
    </row>
  </sheetData>
  <mergeCells count="25">
    <mergeCell ref="N4:N6"/>
    <mergeCell ref="O4:O6"/>
    <mergeCell ref="A1:M1"/>
    <mergeCell ref="A2:M2"/>
    <mergeCell ref="A3:M3"/>
    <mergeCell ref="A4:A8"/>
    <mergeCell ref="B4:B8"/>
    <mergeCell ref="C4:C8"/>
    <mergeCell ref="D4:D7"/>
    <mergeCell ref="G4:G7"/>
    <mergeCell ref="H4:H7"/>
    <mergeCell ref="I4:I7"/>
    <mergeCell ref="J4:J7"/>
    <mergeCell ref="K4:K7"/>
    <mergeCell ref="E71:K74"/>
    <mergeCell ref="L71:M74"/>
    <mergeCell ref="E4:E7"/>
    <mergeCell ref="F4:F7"/>
    <mergeCell ref="A66:C66"/>
    <mergeCell ref="A67:D70"/>
    <mergeCell ref="E67:K70"/>
    <mergeCell ref="L67:M70"/>
    <mergeCell ref="A71:D74"/>
    <mergeCell ref="L4:L6"/>
    <mergeCell ref="M4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DBF2-3B04-1D4C-A168-ED874101EFB4}">
  <dimension ref="A1"/>
  <sheetViews>
    <sheetView zoomScaleNormal="60" zoomScaleSheetLayoutView="100" workbookViewId="0"/>
  </sheetViews>
  <sheetFormatPr defaultRowHeight="12.75" x14ac:dyDescent="0.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74"/>
  <sheetViews>
    <sheetView workbookViewId="0">
      <selection sqref="A1:O1"/>
    </sheetView>
  </sheetViews>
  <sheetFormatPr defaultColWidth="12.5390625" defaultRowHeight="15.75" customHeight="1" x14ac:dyDescent="0.15"/>
  <cols>
    <col min="3" max="3" width="24.13671875" customWidth="1"/>
    <col min="6" max="6" width="14.83203125" customWidth="1"/>
  </cols>
  <sheetData>
    <row r="1" spans="1:15" ht="25.5" x14ac:dyDescent="0.3">
      <c r="A1" s="11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ht="25.5" x14ac:dyDescent="0.3">
      <c r="A2" s="95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5" ht="25.5" x14ac:dyDescent="0.3">
      <c r="A3" s="95" t="s">
        <v>154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</row>
    <row r="4" spans="1:15" ht="12.75" x14ac:dyDescent="0.15">
      <c r="A4" s="97" t="s">
        <v>3</v>
      </c>
      <c r="B4" s="100" t="s">
        <v>4</v>
      </c>
      <c r="C4" s="100" t="s">
        <v>5</v>
      </c>
      <c r="D4" s="119" t="s">
        <v>155</v>
      </c>
      <c r="E4" s="119" t="s">
        <v>156</v>
      </c>
      <c r="F4" s="119" t="s">
        <v>157</v>
      </c>
      <c r="G4" s="119" t="s">
        <v>158</v>
      </c>
      <c r="H4" s="119" t="s">
        <v>159</v>
      </c>
      <c r="I4" s="119" t="s">
        <v>155</v>
      </c>
      <c r="J4" s="119" t="s">
        <v>156</v>
      </c>
      <c r="K4" s="119" t="s">
        <v>157</v>
      </c>
      <c r="L4" s="119" t="s">
        <v>158</v>
      </c>
      <c r="M4" s="119" t="s">
        <v>159</v>
      </c>
      <c r="N4" s="80" t="s">
        <v>160</v>
      </c>
      <c r="O4" s="83" t="s">
        <v>161</v>
      </c>
    </row>
    <row r="5" spans="1:15" ht="12.75" x14ac:dyDescent="0.15">
      <c r="A5" s="98"/>
      <c r="B5" s="101"/>
      <c r="C5" s="101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81"/>
      <c r="O5" s="84"/>
    </row>
    <row r="6" spans="1:15" ht="12.75" x14ac:dyDescent="0.15">
      <c r="A6" s="98"/>
      <c r="B6" s="101"/>
      <c r="C6" s="10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82"/>
      <c r="O6" s="85"/>
    </row>
    <row r="7" spans="1:15" ht="1.5" customHeight="1" x14ac:dyDescent="0.15">
      <c r="A7" s="98"/>
      <c r="B7" s="101"/>
      <c r="C7" s="101"/>
      <c r="D7" s="22"/>
      <c r="E7" s="22"/>
      <c r="F7" s="22"/>
      <c r="G7" s="22"/>
      <c r="H7" s="22"/>
      <c r="I7" s="77"/>
      <c r="J7" s="77"/>
      <c r="K7" s="77"/>
      <c r="L7" s="77"/>
      <c r="M7" s="77"/>
      <c r="N7" s="1">
        <f>SUM(D7:M7)</f>
        <v>0</v>
      </c>
      <c r="O7" s="2" t="s">
        <v>15</v>
      </c>
    </row>
    <row r="8" spans="1:15" ht="14.25" x14ac:dyDescent="0.15">
      <c r="A8" s="99"/>
      <c r="B8" s="102"/>
      <c r="C8" s="102"/>
      <c r="D8" s="122" t="s">
        <v>162</v>
      </c>
      <c r="E8" s="123"/>
      <c r="F8" s="123"/>
      <c r="G8" s="123"/>
      <c r="H8" s="118"/>
      <c r="I8" s="122" t="s">
        <v>163</v>
      </c>
      <c r="J8" s="123"/>
      <c r="K8" s="123"/>
      <c r="L8" s="123"/>
      <c r="M8" s="118"/>
      <c r="N8" s="30">
        <v>143</v>
      </c>
      <c r="O8" s="31"/>
    </row>
    <row r="9" spans="1:15" ht="15" x14ac:dyDescent="0.15">
      <c r="A9" s="5">
        <v>1</v>
      </c>
      <c r="B9" s="6" t="s">
        <v>16</v>
      </c>
      <c r="C9" s="7" t="s">
        <v>17</v>
      </c>
      <c r="D9" s="68" t="s">
        <v>164</v>
      </c>
      <c r="E9" s="69" t="s">
        <v>164</v>
      </c>
      <c r="F9" s="70" t="s">
        <v>164</v>
      </c>
      <c r="G9" s="68" t="s">
        <v>165</v>
      </c>
      <c r="H9" s="71" t="s">
        <v>166</v>
      </c>
      <c r="I9" s="36"/>
      <c r="J9" s="36"/>
      <c r="K9" s="36"/>
      <c r="L9" s="36"/>
      <c r="M9" s="59"/>
      <c r="N9" s="37">
        <v>29</v>
      </c>
      <c r="O9" s="78">
        <v>0.20279720279720279</v>
      </c>
    </row>
    <row r="10" spans="1:15" ht="15" x14ac:dyDescent="0.15">
      <c r="A10" s="5">
        <v>2</v>
      </c>
      <c r="B10" s="12" t="s">
        <v>18</v>
      </c>
      <c r="C10" s="13" t="s">
        <v>19</v>
      </c>
      <c r="D10" s="72">
        <v>0</v>
      </c>
      <c r="E10" s="73" t="s">
        <v>164</v>
      </c>
      <c r="F10" s="74">
        <v>9</v>
      </c>
      <c r="G10" s="72">
        <v>4</v>
      </c>
      <c r="H10" s="75" t="s">
        <v>166</v>
      </c>
      <c r="I10" s="42"/>
      <c r="J10" s="42"/>
      <c r="K10" s="42"/>
      <c r="L10" s="42"/>
      <c r="M10" s="65"/>
      <c r="N10" s="66">
        <v>51</v>
      </c>
      <c r="O10" s="78">
        <v>0.35664335664335667</v>
      </c>
    </row>
    <row r="11" spans="1:15" ht="15" x14ac:dyDescent="0.15">
      <c r="A11" s="5">
        <v>3</v>
      </c>
      <c r="B11" s="6" t="s">
        <v>20</v>
      </c>
      <c r="C11" s="7" t="s">
        <v>21</v>
      </c>
      <c r="D11" s="72" t="s">
        <v>164</v>
      </c>
      <c r="E11" s="73">
        <v>12</v>
      </c>
      <c r="F11" s="74">
        <v>14</v>
      </c>
      <c r="G11" s="72">
        <v>15</v>
      </c>
      <c r="H11" s="75">
        <v>18</v>
      </c>
      <c r="I11" s="42"/>
      <c r="J11" s="42"/>
      <c r="K11" s="42"/>
      <c r="L11" s="42"/>
      <c r="M11" s="65"/>
      <c r="N11" s="66">
        <v>66</v>
      </c>
      <c r="O11" s="78">
        <v>0.46153846153846156</v>
      </c>
    </row>
    <row r="12" spans="1:15" ht="15" x14ac:dyDescent="0.15">
      <c r="A12" s="5">
        <v>4</v>
      </c>
      <c r="B12" s="12" t="s">
        <v>22</v>
      </c>
      <c r="C12" s="13" t="s">
        <v>23</v>
      </c>
      <c r="D12" s="72" t="s">
        <v>164</v>
      </c>
      <c r="E12" s="73" t="s">
        <v>164</v>
      </c>
      <c r="F12" s="74" t="s">
        <v>164</v>
      </c>
      <c r="G12" s="72" t="s">
        <v>165</v>
      </c>
      <c r="H12" s="75" t="s">
        <v>166</v>
      </c>
      <c r="I12" s="42"/>
      <c r="J12" s="42"/>
      <c r="K12" s="42"/>
      <c r="L12" s="42"/>
      <c r="M12" s="65"/>
      <c r="N12" s="66">
        <v>5</v>
      </c>
      <c r="O12" s="78">
        <v>3.4965034965034968E-2</v>
      </c>
    </row>
    <row r="13" spans="1:15" ht="15" x14ac:dyDescent="0.15">
      <c r="A13" s="5">
        <v>5</v>
      </c>
      <c r="B13" s="6" t="s">
        <v>24</v>
      </c>
      <c r="C13" s="7" t="s">
        <v>25</v>
      </c>
      <c r="D13" s="72">
        <v>1</v>
      </c>
      <c r="E13" s="73">
        <v>9</v>
      </c>
      <c r="F13" s="74">
        <v>6</v>
      </c>
      <c r="G13" s="72">
        <v>15</v>
      </c>
      <c r="H13" s="75" t="s">
        <v>166</v>
      </c>
      <c r="I13" s="42"/>
      <c r="J13" s="42"/>
      <c r="K13" s="42"/>
      <c r="L13" s="42"/>
      <c r="M13" s="65"/>
      <c r="N13" s="66">
        <v>68</v>
      </c>
      <c r="O13" s="78">
        <v>0.47552447552447552</v>
      </c>
    </row>
    <row r="14" spans="1:15" ht="15" x14ac:dyDescent="0.15">
      <c r="A14" s="5">
        <v>6</v>
      </c>
      <c r="B14" s="12" t="s">
        <v>26</v>
      </c>
      <c r="C14" s="13" t="s">
        <v>27</v>
      </c>
      <c r="D14" s="72">
        <v>1</v>
      </c>
      <c r="E14" s="73">
        <v>12</v>
      </c>
      <c r="F14" s="74">
        <v>15</v>
      </c>
      <c r="G14" s="72">
        <v>13</v>
      </c>
      <c r="H14" s="75">
        <v>18</v>
      </c>
      <c r="I14" s="42"/>
      <c r="J14" s="42"/>
      <c r="K14" s="42"/>
      <c r="L14" s="42"/>
      <c r="M14" s="65"/>
      <c r="N14" s="66">
        <v>46</v>
      </c>
      <c r="O14" s="78">
        <v>0.32167832167832167</v>
      </c>
    </row>
    <row r="15" spans="1:15" ht="15" x14ac:dyDescent="0.15">
      <c r="A15" s="5">
        <v>7</v>
      </c>
      <c r="B15" s="6" t="s">
        <v>28</v>
      </c>
      <c r="C15" s="7" t="s">
        <v>29</v>
      </c>
      <c r="D15" s="72" t="s">
        <v>164</v>
      </c>
      <c r="E15" s="73" t="s">
        <v>164</v>
      </c>
      <c r="F15" s="74" t="s">
        <v>164</v>
      </c>
      <c r="G15" s="72" t="s">
        <v>165</v>
      </c>
      <c r="H15" s="75" t="s">
        <v>166</v>
      </c>
      <c r="I15" s="42"/>
      <c r="J15" s="42"/>
      <c r="K15" s="42"/>
      <c r="L15" s="42"/>
      <c r="M15" s="65"/>
      <c r="N15" s="66">
        <v>60</v>
      </c>
      <c r="O15" s="78">
        <v>0.41958041958041958</v>
      </c>
    </row>
    <row r="16" spans="1:15" ht="15" x14ac:dyDescent="0.15">
      <c r="A16" s="5">
        <v>8</v>
      </c>
      <c r="B16" s="12" t="s">
        <v>30</v>
      </c>
      <c r="C16" s="13" t="s">
        <v>31</v>
      </c>
      <c r="D16" s="72" t="s">
        <v>164</v>
      </c>
      <c r="E16" s="73" t="s">
        <v>164</v>
      </c>
      <c r="F16" s="74" t="s">
        <v>164</v>
      </c>
      <c r="G16" s="72" t="s">
        <v>165</v>
      </c>
      <c r="H16" s="75" t="s">
        <v>166</v>
      </c>
      <c r="I16" s="42"/>
      <c r="J16" s="42"/>
      <c r="K16" s="42"/>
      <c r="L16" s="42"/>
      <c r="M16" s="65"/>
      <c r="N16" s="66">
        <v>85</v>
      </c>
      <c r="O16" s="78">
        <v>0.59440559440559437</v>
      </c>
    </row>
    <row r="17" spans="1:15" ht="15" x14ac:dyDescent="0.15">
      <c r="A17" s="5">
        <v>9</v>
      </c>
      <c r="B17" s="6" t="s">
        <v>32</v>
      </c>
      <c r="C17" s="7" t="s">
        <v>33</v>
      </c>
      <c r="D17" s="72" t="s">
        <v>164</v>
      </c>
      <c r="E17" s="73">
        <v>6</v>
      </c>
      <c r="F17" s="74">
        <v>6</v>
      </c>
      <c r="G17" s="72">
        <v>0</v>
      </c>
      <c r="H17" s="75">
        <v>7</v>
      </c>
      <c r="I17" s="42"/>
      <c r="J17" s="42"/>
      <c r="K17" s="42"/>
      <c r="L17" s="42"/>
      <c r="M17" s="65"/>
      <c r="N17" s="66">
        <v>64</v>
      </c>
      <c r="O17" s="78">
        <v>0.44755244755244755</v>
      </c>
    </row>
    <row r="18" spans="1:15" ht="15" x14ac:dyDescent="0.15">
      <c r="A18" s="5">
        <v>10</v>
      </c>
      <c r="B18" s="12" t="s">
        <v>34</v>
      </c>
      <c r="C18" s="13" t="s">
        <v>35</v>
      </c>
      <c r="D18" s="72" t="s">
        <v>164</v>
      </c>
      <c r="E18" s="73" t="s">
        <v>164</v>
      </c>
      <c r="F18" s="74" t="s">
        <v>164</v>
      </c>
      <c r="G18" s="72" t="s">
        <v>165</v>
      </c>
      <c r="H18" s="75" t="s">
        <v>166</v>
      </c>
      <c r="I18" s="42"/>
      <c r="J18" s="42"/>
      <c r="K18" s="42"/>
      <c r="L18" s="42"/>
      <c r="M18" s="65"/>
      <c r="N18" s="66">
        <v>16</v>
      </c>
      <c r="O18" s="78">
        <v>0.11188811188811189</v>
      </c>
    </row>
    <row r="19" spans="1:15" ht="15" x14ac:dyDescent="0.15">
      <c r="A19" s="5">
        <v>11</v>
      </c>
      <c r="B19" s="6" t="s">
        <v>36</v>
      </c>
      <c r="C19" s="7" t="s">
        <v>37</v>
      </c>
      <c r="D19" s="72" t="s">
        <v>164</v>
      </c>
      <c r="E19" s="73" t="s">
        <v>164</v>
      </c>
      <c r="F19" s="74" t="s">
        <v>164</v>
      </c>
      <c r="G19" s="72" t="s">
        <v>165</v>
      </c>
      <c r="H19" s="75" t="s">
        <v>166</v>
      </c>
      <c r="I19" s="42"/>
      <c r="J19" s="42"/>
      <c r="K19" s="42"/>
      <c r="L19" s="42"/>
      <c r="M19" s="65"/>
      <c r="N19" s="66">
        <v>66</v>
      </c>
      <c r="O19" s="78">
        <v>0.46153846153846156</v>
      </c>
    </row>
    <row r="20" spans="1:15" ht="15" x14ac:dyDescent="0.15">
      <c r="A20" s="5">
        <v>12</v>
      </c>
      <c r="B20" s="12" t="s">
        <v>38</v>
      </c>
      <c r="C20" s="13" t="s">
        <v>39</v>
      </c>
      <c r="D20" s="72">
        <v>12</v>
      </c>
      <c r="E20" s="73">
        <v>16</v>
      </c>
      <c r="F20" s="74">
        <v>7</v>
      </c>
      <c r="G20" s="72">
        <v>15</v>
      </c>
      <c r="H20" s="75">
        <v>18</v>
      </c>
      <c r="I20" s="42"/>
      <c r="J20" s="42"/>
      <c r="K20" s="42"/>
      <c r="L20" s="42"/>
      <c r="M20" s="65"/>
      <c r="N20" s="66">
        <v>94</v>
      </c>
      <c r="O20" s="78">
        <v>0.65734265734265729</v>
      </c>
    </row>
    <row r="21" spans="1:15" ht="15" x14ac:dyDescent="0.15">
      <c r="A21" s="5">
        <v>13</v>
      </c>
      <c r="B21" s="6" t="s">
        <v>40</v>
      </c>
      <c r="C21" s="7" t="s">
        <v>41</v>
      </c>
      <c r="D21" s="72">
        <v>2</v>
      </c>
      <c r="E21" s="73">
        <v>8</v>
      </c>
      <c r="F21" s="74">
        <v>7</v>
      </c>
      <c r="G21" s="72">
        <v>8</v>
      </c>
      <c r="H21" s="75">
        <v>3</v>
      </c>
      <c r="I21" s="42"/>
      <c r="J21" s="42"/>
      <c r="K21" s="42"/>
      <c r="L21" s="42"/>
      <c r="M21" s="65"/>
      <c r="N21" s="66">
        <v>76</v>
      </c>
      <c r="O21" s="78">
        <v>0.53146853146853146</v>
      </c>
    </row>
    <row r="22" spans="1:15" ht="15" x14ac:dyDescent="0.15">
      <c r="A22" s="5">
        <v>14</v>
      </c>
      <c r="B22" s="12" t="s">
        <v>42</v>
      </c>
      <c r="C22" s="13" t="s">
        <v>43</v>
      </c>
      <c r="D22" s="72">
        <v>3</v>
      </c>
      <c r="E22" s="73">
        <v>6</v>
      </c>
      <c r="F22" s="74">
        <v>1</v>
      </c>
      <c r="G22" s="72">
        <v>6</v>
      </c>
      <c r="H22" s="75">
        <v>11</v>
      </c>
      <c r="I22" s="42"/>
      <c r="J22" s="42"/>
      <c r="K22" s="42"/>
      <c r="L22" s="42"/>
      <c r="M22" s="65"/>
      <c r="N22" s="66">
        <v>59</v>
      </c>
      <c r="O22" s="78">
        <v>0.41258741258741261</v>
      </c>
    </row>
    <row r="23" spans="1:15" ht="15" x14ac:dyDescent="0.15">
      <c r="A23" s="5">
        <v>15</v>
      </c>
      <c r="B23" s="6" t="s">
        <v>44</v>
      </c>
      <c r="C23" s="7" t="s">
        <v>45</v>
      </c>
      <c r="D23" s="72" t="s">
        <v>164</v>
      </c>
      <c r="E23" s="73" t="s">
        <v>164</v>
      </c>
      <c r="F23" s="74" t="s">
        <v>164</v>
      </c>
      <c r="G23" s="72" t="s">
        <v>165</v>
      </c>
      <c r="H23" s="75" t="s">
        <v>166</v>
      </c>
      <c r="I23" s="42"/>
      <c r="J23" s="42"/>
      <c r="K23" s="42"/>
      <c r="L23" s="42"/>
      <c r="M23" s="65"/>
      <c r="N23" s="66">
        <v>0</v>
      </c>
      <c r="O23" s="78">
        <v>0</v>
      </c>
    </row>
    <row r="24" spans="1:15" ht="15" x14ac:dyDescent="0.15">
      <c r="A24" s="5">
        <v>16</v>
      </c>
      <c r="B24" s="12" t="s">
        <v>46</v>
      </c>
      <c r="C24" s="13" t="s">
        <v>47</v>
      </c>
      <c r="D24" s="72" t="s">
        <v>164</v>
      </c>
      <c r="E24" s="73" t="s">
        <v>164</v>
      </c>
      <c r="F24" s="74" t="s">
        <v>164</v>
      </c>
      <c r="G24" s="72" t="s">
        <v>165</v>
      </c>
      <c r="H24" s="75" t="s">
        <v>166</v>
      </c>
      <c r="I24" s="42"/>
      <c r="J24" s="42"/>
      <c r="K24" s="42"/>
      <c r="L24" s="42"/>
      <c r="M24" s="65"/>
      <c r="N24" s="66">
        <v>28</v>
      </c>
      <c r="O24" s="78">
        <v>0.19580419580419581</v>
      </c>
    </row>
    <row r="25" spans="1:15" ht="15" x14ac:dyDescent="0.15">
      <c r="A25" s="5">
        <v>17</v>
      </c>
      <c r="B25" s="6" t="s">
        <v>48</v>
      </c>
      <c r="C25" s="7" t="s">
        <v>49</v>
      </c>
      <c r="D25" s="72" t="s">
        <v>164</v>
      </c>
      <c r="E25" s="73">
        <v>2</v>
      </c>
      <c r="F25" s="74">
        <v>0</v>
      </c>
      <c r="G25" s="72">
        <v>1</v>
      </c>
      <c r="H25" s="75">
        <v>0</v>
      </c>
      <c r="I25" s="42"/>
      <c r="J25" s="42"/>
      <c r="K25" s="42"/>
      <c r="L25" s="42"/>
      <c r="M25" s="65"/>
      <c r="N25" s="66">
        <v>40</v>
      </c>
      <c r="O25" s="78">
        <v>0.27972027972027974</v>
      </c>
    </row>
    <row r="26" spans="1:15" ht="15" x14ac:dyDescent="0.15">
      <c r="A26" s="5">
        <v>18</v>
      </c>
      <c r="B26" s="12" t="s">
        <v>50</v>
      </c>
      <c r="C26" s="13" t="s">
        <v>51</v>
      </c>
      <c r="D26" s="72">
        <v>4</v>
      </c>
      <c r="E26" s="73">
        <v>12</v>
      </c>
      <c r="F26" s="74">
        <v>5</v>
      </c>
      <c r="G26" s="72">
        <v>16</v>
      </c>
      <c r="H26" s="75">
        <v>3</v>
      </c>
      <c r="I26" s="42"/>
      <c r="J26" s="42"/>
      <c r="K26" s="42"/>
      <c r="L26" s="42"/>
      <c r="M26" s="65"/>
      <c r="N26" s="66">
        <v>67</v>
      </c>
      <c r="O26" s="78">
        <v>0.46853146853146854</v>
      </c>
    </row>
    <row r="27" spans="1:15" ht="15" x14ac:dyDescent="0.15">
      <c r="A27" s="5">
        <v>19</v>
      </c>
      <c r="B27" s="6" t="s">
        <v>52</v>
      </c>
      <c r="C27" s="7" t="s">
        <v>53</v>
      </c>
      <c r="D27" s="72" t="s">
        <v>164</v>
      </c>
      <c r="E27" s="73" t="s">
        <v>164</v>
      </c>
      <c r="F27" s="74" t="s">
        <v>164</v>
      </c>
      <c r="G27" s="72" t="s">
        <v>165</v>
      </c>
      <c r="H27" s="75" t="s">
        <v>166</v>
      </c>
      <c r="I27" s="42"/>
      <c r="J27" s="42"/>
      <c r="K27" s="42"/>
      <c r="L27" s="42"/>
      <c r="M27" s="65"/>
      <c r="N27" s="66">
        <v>56</v>
      </c>
      <c r="O27" s="78">
        <v>0.39160839160839161</v>
      </c>
    </row>
    <row r="28" spans="1:15" ht="15" x14ac:dyDescent="0.15">
      <c r="A28" s="5">
        <v>20</v>
      </c>
      <c r="B28" s="12" t="s">
        <v>54</v>
      </c>
      <c r="C28" s="13" t="s">
        <v>55</v>
      </c>
      <c r="D28" s="72" t="s">
        <v>164</v>
      </c>
      <c r="E28" s="73" t="s">
        <v>164</v>
      </c>
      <c r="F28" s="74" t="s">
        <v>164</v>
      </c>
      <c r="G28" s="72" t="s">
        <v>165</v>
      </c>
      <c r="H28" s="75" t="s">
        <v>166</v>
      </c>
      <c r="I28" s="42"/>
      <c r="J28" s="42"/>
      <c r="K28" s="42"/>
      <c r="L28" s="42"/>
      <c r="M28" s="65"/>
      <c r="N28" s="66">
        <v>65</v>
      </c>
      <c r="O28" s="78">
        <v>0.45454545454545453</v>
      </c>
    </row>
    <row r="29" spans="1:15" ht="15" x14ac:dyDescent="0.15">
      <c r="A29" s="5">
        <v>21</v>
      </c>
      <c r="B29" s="6" t="s">
        <v>56</v>
      </c>
      <c r="C29" s="7" t="s">
        <v>57</v>
      </c>
      <c r="D29" s="72" t="s">
        <v>164</v>
      </c>
      <c r="E29" s="73">
        <v>10</v>
      </c>
      <c r="F29" s="74">
        <v>7</v>
      </c>
      <c r="G29" s="72">
        <v>11</v>
      </c>
      <c r="H29" s="75">
        <v>16</v>
      </c>
      <c r="I29" s="42"/>
      <c r="J29" s="42"/>
      <c r="K29" s="42"/>
      <c r="L29" s="42"/>
      <c r="M29" s="65"/>
      <c r="N29" s="66">
        <v>66</v>
      </c>
      <c r="O29" s="78">
        <v>0.46153846153846156</v>
      </c>
    </row>
    <row r="30" spans="1:15" ht="15" x14ac:dyDescent="0.15">
      <c r="A30" s="5">
        <v>22</v>
      </c>
      <c r="B30" s="12" t="s">
        <v>58</v>
      </c>
      <c r="C30" s="13" t="s">
        <v>59</v>
      </c>
      <c r="D30" s="72">
        <v>3</v>
      </c>
      <c r="E30" s="73">
        <v>2</v>
      </c>
      <c r="F30" s="74">
        <v>9</v>
      </c>
      <c r="G30" s="72">
        <v>13</v>
      </c>
      <c r="H30" s="75" t="s">
        <v>166</v>
      </c>
      <c r="I30" s="42"/>
      <c r="J30" s="42"/>
      <c r="K30" s="42"/>
      <c r="L30" s="42"/>
      <c r="M30" s="65"/>
      <c r="N30" s="66">
        <v>60</v>
      </c>
      <c r="O30" s="78">
        <v>0.41958041958041958</v>
      </c>
    </row>
    <row r="31" spans="1:15" ht="15" x14ac:dyDescent="0.15">
      <c r="A31" s="5">
        <v>23</v>
      </c>
      <c r="B31" s="6" t="s">
        <v>60</v>
      </c>
      <c r="C31" s="7" t="s">
        <v>61</v>
      </c>
      <c r="D31" s="72" t="s">
        <v>164</v>
      </c>
      <c r="E31" s="73" t="s">
        <v>164</v>
      </c>
      <c r="F31" s="74" t="s">
        <v>164</v>
      </c>
      <c r="G31" s="72" t="s">
        <v>165</v>
      </c>
      <c r="H31" s="75" t="s">
        <v>166</v>
      </c>
      <c r="I31" s="42"/>
      <c r="J31" s="42"/>
      <c r="K31" s="42"/>
      <c r="L31" s="42"/>
      <c r="M31" s="65"/>
      <c r="N31" s="66">
        <v>0</v>
      </c>
      <c r="O31" s="78">
        <v>0</v>
      </c>
    </row>
    <row r="32" spans="1:15" ht="15" x14ac:dyDescent="0.15">
      <c r="A32" s="5">
        <v>24</v>
      </c>
      <c r="B32" s="12" t="s">
        <v>62</v>
      </c>
      <c r="C32" s="13" t="s">
        <v>63</v>
      </c>
      <c r="D32" s="72">
        <v>6</v>
      </c>
      <c r="E32" s="73">
        <v>16</v>
      </c>
      <c r="F32" s="74">
        <v>10</v>
      </c>
      <c r="G32" s="72">
        <v>14</v>
      </c>
      <c r="H32" s="75">
        <v>12</v>
      </c>
      <c r="I32" s="42"/>
      <c r="J32" s="42"/>
      <c r="K32" s="42"/>
      <c r="L32" s="42"/>
      <c r="M32" s="65"/>
      <c r="N32" s="66">
        <v>94</v>
      </c>
      <c r="O32" s="78">
        <v>0.65734265734265729</v>
      </c>
    </row>
    <row r="33" spans="1:15" ht="15" x14ac:dyDescent="0.15">
      <c r="A33" s="5">
        <v>25</v>
      </c>
      <c r="B33" s="6" t="s">
        <v>64</v>
      </c>
      <c r="C33" s="7" t="s">
        <v>65</v>
      </c>
      <c r="D33" s="72" t="s">
        <v>164</v>
      </c>
      <c r="E33" s="73" t="s">
        <v>164</v>
      </c>
      <c r="F33" s="74" t="s">
        <v>164</v>
      </c>
      <c r="G33" s="72" t="s">
        <v>165</v>
      </c>
      <c r="H33" s="75" t="s">
        <v>166</v>
      </c>
      <c r="I33" s="42"/>
      <c r="J33" s="42"/>
      <c r="K33" s="42"/>
      <c r="L33" s="42"/>
      <c r="M33" s="65"/>
      <c r="N33" s="66">
        <v>10</v>
      </c>
      <c r="O33" s="78">
        <v>6.9930069930069935E-2</v>
      </c>
    </row>
    <row r="34" spans="1:15" ht="15" x14ac:dyDescent="0.15">
      <c r="A34" s="5">
        <v>26</v>
      </c>
      <c r="B34" s="12" t="s">
        <v>66</v>
      </c>
      <c r="C34" s="13" t="s">
        <v>67</v>
      </c>
      <c r="D34" s="72">
        <v>0</v>
      </c>
      <c r="E34" s="73" t="s">
        <v>164</v>
      </c>
      <c r="F34" s="74" t="s">
        <v>164</v>
      </c>
      <c r="G34" s="72" t="s">
        <v>165</v>
      </c>
      <c r="H34" s="75">
        <v>5</v>
      </c>
      <c r="I34" s="42"/>
      <c r="J34" s="42"/>
      <c r="K34" s="42"/>
      <c r="L34" s="42"/>
      <c r="M34" s="65"/>
      <c r="N34" s="66">
        <v>35</v>
      </c>
      <c r="O34" s="78">
        <v>0.24475524475524477</v>
      </c>
    </row>
    <row r="35" spans="1:15" ht="15" x14ac:dyDescent="0.15">
      <c r="A35" s="5">
        <v>27</v>
      </c>
      <c r="B35" s="6" t="s">
        <v>68</v>
      </c>
      <c r="C35" s="7" t="s">
        <v>69</v>
      </c>
      <c r="D35" s="72">
        <v>8</v>
      </c>
      <c r="E35" s="73">
        <v>6</v>
      </c>
      <c r="F35" s="74">
        <v>11</v>
      </c>
      <c r="G35" s="72">
        <v>12</v>
      </c>
      <c r="H35" s="75">
        <v>19</v>
      </c>
      <c r="I35" s="42"/>
      <c r="J35" s="42"/>
      <c r="K35" s="42"/>
      <c r="L35" s="42"/>
      <c r="M35" s="65"/>
      <c r="N35" s="66">
        <v>74</v>
      </c>
      <c r="O35" s="78">
        <v>0.5174825174825175</v>
      </c>
    </row>
    <row r="36" spans="1:15" ht="15" x14ac:dyDescent="0.15">
      <c r="A36" s="5">
        <v>28</v>
      </c>
      <c r="B36" s="12" t="s">
        <v>70</v>
      </c>
      <c r="C36" s="13" t="s">
        <v>71</v>
      </c>
      <c r="D36" s="72" t="s">
        <v>164</v>
      </c>
      <c r="E36" s="73">
        <v>3</v>
      </c>
      <c r="F36" s="74">
        <v>3</v>
      </c>
      <c r="G36" s="72" t="s">
        <v>165</v>
      </c>
      <c r="H36" s="75" t="s">
        <v>166</v>
      </c>
      <c r="I36" s="42"/>
      <c r="J36" s="42"/>
      <c r="K36" s="42"/>
      <c r="L36" s="42"/>
      <c r="M36" s="65"/>
      <c r="N36" s="66">
        <v>57</v>
      </c>
      <c r="O36" s="78">
        <v>0.39860139860139859</v>
      </c>
    </row>
    <row r="37" spans="1:15" ht="15" x14ac:dyDescent="0.15">
      <c r="A37" s="5">
        <v>29</v>
      </c>
      <c r="B37" s="6" t="s">
        <v>72</v>
      </c>
      <c r="C37" s="7" t="s">
        <v>73</v>
      </c>
      <c r="D37" s="72">
        <v>0</v>
      </c>
      <c r="E37" s="73">
        <v>4</v>
      </c>
      <c r="F37" s="74">
        <v>1</v>
      </c>
      <c r="G37" s="72">
        <v>4</v>
      </c>
      <c r="H37" s="75" t="s">
        <v>166</v>
      </c>
      <c r="I37" s="42"/>
      <c r="J37" s="42"/>
      <c r="K37" s="42"/>
      <c r="L37" s="42"/>
      <c r="M37" s="65"/>
      <c r="N37" s="66">
        <v>46</v>
      </c>
      <c r="O37" s="78">
        <v>0.32167832167832167</v>
      </c>
    </row>
    <row r="38" spans="1:15" ht="15" x14ac:dyDescent="0.15">
      <c r="A38" s="5">
        <v>30</v>
      </c>
      <c r="B38" s="12" t="s">
        <v>74</v>
      </c>
      <c r="C38" s="13" t="s">
        <v>75</v>
      </c>
      <c r="D38" s="72">
        <v>15</v>
      </c>
      <c r="E38" s="73">
        <v>5</v>
      </c>
      <c r="F38" s="74">
        <v>18</v>
      </c>
      <c r="G38" s="72">
        <v>13</v>
      </c>
      <c r="H38" s="75">
        <v>18</v>
      </c>
      <c r="I38" s="42"/>
      <c r="J38" s="42"/>
      <c r="K38" s="42"/>
      <c r="L38" s="42"/>
      <c r="M38" s="65"/>
      <c r="N38" s="66">
        <v>55</v>
      </c>
      <c r="O38" s="78">
        <v>0.38461538461538464</v>
      </c>
    </row>
    <row r="39" spans="1:15" ht="15" x14ac:dyDescent="0.15">
      <c r="A39" s="5">
        <v>31</v>
      </c>
      <c r="B39" s="6" t="s">
        <v>76</v>
      </c>
      <c r="C39" s="7" t="s">
        <v>77</v>
      </c>
      <c r="D39" s="72">
        <v>12</v>
      </c>
      <c r="E39" s="73">
        <v>5</v>
      </c>
      <c r="F39" s="74" t="s">
        <v>164</v>
      </c>
      <c r="G39" s="72" t="s">
        <v>165</v>
      </c>
      <c r="H39" s="75" t="s">
        <v>166</v>
      </c>
      <c r="I39" s="42"/>
      <c r="J39" s="42"/>
      <c r="K39" s="42"/>
      <c r="L39" s="42"/>
      <c r="M39" s="65"/>
      <c r="N39" s="66">
        <v>57</v>
      </c>
      <c r="O39" s="78">
        <v>0.39860139860139859</v>
      </c>
    </row>
    <row r="40" spans="1:15" ht="15" x14ac:dyDescent="0.15">
      <c r="A40" s="5">
        <v>32</v>
      </c>
      <c r="B40" s="12" t="s">
        <v>78</v>
      </c>
      <c r="C40" s="13" t="s">
        <v>79</v>
      </c>
      <c r="D40" s="72">
        <v>3</v>
      </c>
      <c r="E40" s="73">
        <v>11</v>
      </c>
      <c r="F40" s="74">
        <v>9</v>
      </c>
      <c r="G40" s="72">
        <v>10</v>
      </c>
      <c r="H40" s="75">
        <v>16</v>
      </c>
      <c r="I40" s="42"/>
      <c r="J40" s="42"/>
      <c r="K40" s="42"/>
      <c r="L40" s="42"/>
      <c r="M40" s="65"/>
      <c r="N40" s="66">
        <v>60</v>
      </c>
      <c r="O40" s="78">
        <v>0.41958041958041958</v>
      </c>
    </row>
    <row r="41" spans="1:15" ht="15" x14ac:dyDescent="0.15">
      <c r="A41" s="5">
        <v>33</v>
      </c>
      <c r="B41" s="6" t="s">
        <v>80</v>
      </c>
      <c r="C41" s="7" t="s">
        <v>81</v>
      </c>
      <c r="D41" s="72" t="s">
        <v>164</v>
      </c>
      <c r="E41" s="73" t="s">
        <v>164</v>
      </c>
      <c r="F41" s="74" t="s">
        <v>164</v>
      </c>
      <c r="G41" s="72" t="s">
        <v>165</v>
      </c>
      <c r="H41" s="75" t="s">
        <v>166</v>
      </c>
      <c r="I41" s="42"/>
      <c r="J41" s="42"/>
      <c r="K41" s="42"/>
      <c r="L41" s="42"/>
      <c r="M41" s="65"/>
      <c r="N41" s="66">
        <v>24</v>
      </c>
      <c r="O41" s="78">
        <v>0.16783216783216784</v>
      </c>
    </row>
    <row r="42" spans="1:15" ht="15" x14ac:dyDescent="0.15">
      <c r="A42" s="5">
        <v>34</v>
      </c>
      <c r="B42" s="12" t="s">
        <v>82</v>
      </c>
      <c r="C42" s="13" t="s">
        <v>83</v>
      </c>
      <c r="D42" s="72">
        <v>7</v>
      </c>
      <c r="E42" s="73" t="s">
        <v>164</v>
      </c>
      <c r="F42" s="74" t="s">
        <v>164</v>
      </c>
      <c r="G42" s="72" t="s">
        <v>165</v>
      </c>
      <c r="H42" s="75" t="s">
        <v>166</v>
      </c>
      <c r="I42" s="42"/>
      <c r="J42" s="42"/>
      <c r="K42" s="42"/>
      <c r="L42" s="42"/>
      <c r="M42" s="65"/>
      <c r="N42" s="66">
        <v>43</v>
      </c>
      <c r="O42" s="78">
        <v>0.30069930069930068</v>
      </c>
    </row>
    <row r="43" spans="1:15" ht="15" x14ac:dyDescent="0.15">
      <c r="A43" s="5">
        <v>35</v>
      </c>
      <c r="B43" s="6" t="s">
        <v>84</v>
      </c>
      <c r="C43" s="7" t="s">
        <v>85</v>
      </c>
      <c r="D43" s="72" t="s">
        <v>164</v>
      </c>
      <c r="E43" s="73" t="s">
        <v>164</v>
      </c>
      <c r="F43" s="74" t="s">
        <v>164</v>
      </c>
      <c r="G43" s="72" t="s">
        <v>165</v>
      </c>
      <c r="H43" s="75" t="s">
        <v>166</v>
      </c>
      <c r="I43" s="42"/>
      <c r="J43" s="42"/>
      <c r="K43" s="42"/>
      <c r="L43" s="42"/>
      <c r="M43" s="65"/>
      <c r="N43" s="66">
        <v>48</v>
      </c>
      <c r="O43" s="78">
        <v>0.33566433566433568</v>
      </c>
    </row>
    <row r="44" spans="1:15" ht="15" x14ac:dyDescent="0.15">
      <c r="A44" s="5">
        <v>36</v>
      </c>
      <c r="B44" s="12" t="s">
        <v>86</v>
      </c>
      <c r="C44" s="13" t="s">
        <v>87</v>
      </c>
      <c r="D44" s="72" t="s">
        <v>164</v>
      </c>
      <c r="E44" s="73" t="s">
        <v>164</v>
      </c>
      <c r="F44" s="74" t="s">
        <v>164</v>
      </c>
      <c r="G44" s="72" t="s">
        <v>165</v>
      </c>
      <c r="H44" s="75" t="s">
        <v>166</v>
      </c>
      <c r="I44" s="42"/>
      <c r="J44" s="42"/>
      <c r="K44" s="42"/>
      <c r="L44" s="42"/>
      <c r="M44" s="65"/>
      <c r="N44" s="66">
        <v>2</v>
      </c>
      <c r="O44" s="78">
        <v>1.3986013986013986E-2</v>
      </c>
    </row>
    <row r="45" spans="1:15" ht="15" x14ac:dyDescent="0.15">
      <c r="A45" s="5">
        <v>37</v>
      </c>
      <c r="B45" s="6" t="s">
        <v>88</v>
      </c>
      <c r="C45" s="7" t="s">
        <v>89</v>
      </c>
      <c r="D45" s="72">
        <v>0</v>
      </c>
      <c r="E45" s="73" t="s">
        <v>164</v>
      </c>
      <c r="F45" s="74">
        <v>7</v>
      </c>
      <c r="G45" s="72">
        <v>4</v>
      </c>
      <c r="H45" s="75" t="s">
        <v>166</v>
      </c>
      <c r="I45" s="42"/>
      <c r="J45" s="42"/>
      <c r="K45" s="42"/>
      <c r="L45" s="42"/>
      <c r="M45" s="65"/>
      <c r="N45" s="66">
        <v>40</v>
      </c>
      <c r="O45" s="78">
        <v>0.27972027972027974</v>
      </c>
    </row>
    <row r="46" spans="1:15" ht="27.75" x14ac:dyDescent="0.2">
      <c r="A46" s="5">
        <v>38</v>
      </c>
      <c r="B46" s="12" t="s">
        <v>90</v>
      </c>
      <c r="C46" s="17" t="s">
        <v>91</v>
      </c>
      <c r="D46" s="72">
        <v>2</v>
      </c>
      <c r="E46" s="73">
        <v>7</v>
      </c>
      <c r="F46" s="74">
        <v>6</v>
      </c>
      <c r="G46" s="72">
        <v>6</v>
      </c>
      <c r="H46" s="75">
        <v>11</v>
      </c>
      <c r="I46" s="42"/>
      <c r="J46" s="42"/>
      <c r="K46" s="42"/>
      <c r="L46" s="42"/>
      <c r="M46" s="65"/>
      <c r="N46" s="66">
        <v>27</v>
      </c>
      <c r="O46" s="78">
        <v>0.1888111888111888</v>
      </c>
    </row>
    <row r="47" spans="1:15" ht="15" x14ac:dyDescent="0.15">
      <c r="A47" s="5">
        <v>39</v>
      </c>
      <c r="B47" s="6" t="s">
        <v>92</v>
      </c>
      <c r="C47" s="7" t="s">
        <v>93</v>
      </c>
      <c r="D47" s="72" t="s">
        <v>164</v>
      </c>
      <c r="E47" s="73">
        <v>10</v>
      </c>
      <c r="F47" s="74">
        <v>4</v>
      </c>
      <c r="G47" s="72">
        <v>7</v>
      </c>
      <c r="H47" s="75">
        <v>11</v>
      </c>
      <c r="I47" s="42"/>
      <c r="J47" s="42"/>
      <c r="K47" s="42"/>
      <c r="L47" s="42"/>
      <c r="M47" s="65"/>
      <c r="N47" s="66">
        <v>39</v>
      </c>
      <c r="O47" s="78">
        <v>0.27272727272727271</v>
      </c>
    </row>
    <row r="48" spans="1:15" ht="15" x14ac:dyDescent="0.15">
      <c r="A48" s="5">
        <v>40</v>
      </c>
      <c r="B48" s="12" t="s">
        <v>94</v>
      </c>
      <c r="C48" s="13" t="s">
        <v>95</v>
      </c>
      <c r="D48" s="72" t="s">
        <v>164</v>
      </c>
      <c r="E48" s="73" t="s">
        <v>164</v>
      </c>
      <c r="F48" s="74" t="s">
        <v>164</v>
      </c>
      <c r="G48" s="72" t="s">
        <v>165</v>
      </c>
      <c r="H48" s="75" t="s">
        <v>166</v>
      </c>
      <c r="I48" s="42"/>
      <c r="J48" s="42"/>
      <c r="K48" s="42"/>
      <c r="L48" s="42"/>
      <c r="M48" s="65"/>
      <c r="N48" s="66">
        <v>6</v>
      </c>
      <c r="O48" s="78">
        <v>4.195804195804196E-2</v>
      </c>
    </row>
    <row r="49" spans="1:15" ht="15" x14ac:dyDescent="0.15">
      <c r="A49" s="5">
        <v>41</v>
      </c>
      <c r="B49" s="6" t="s">
        <v>96</v>
      </c>
      <c r="C49" s="7" t="s">
        <v>97</v>
      </c>
      <c r="D49" s="72" t="s">
        <v>164</v>
      </c>
      <c r="E49" s="73" t="s">
        <v>164</v>
      </c>
      <c r="F49" s="74" t="s">
        <v>164</v>
      </c>
      <c r="G49" s="72" t="s">
        <v>165</v>
      </c>
      <c r="H49" s="75" t="s">
        <v>166</v>
      </c>
      <c r="I49" s="42"/>
      <c r="J49" s="42"/>
      <c r="K49" s="42"/>
      <c r="L49" s="42"/>
      <c r="M49" s="65"/>
      <c r="N49" s="66">
        <v>28</v>
      </c>
      <c r="O49" s="78">
        <v>0.19580419580419581</v>
      </c>
    </row>
    <row r="50" spans="1:15" ht="15" x14ac:dyDescent="0.15">
      <c r="A50" s="5">
        <v>42</v>
      </c>
      <c r="B50" s="12" t="s">
        <v>98</v>
      </c>
      <c r="C50" s="13" t="s">
        <v>99</v>
      </c>
      <c r="D50" s="72" t="s">
        <v>164</v>
      </c>
      <c r="E50" s="73">
        <v>18</v>
      </c>
      <c r="F50" s="74">
        <v>12</v>
      </c>
      <c r="G50" s="72">
        <v>6</v>
      </c>
      <c r="H50" s="75">
        <v>13</v>
      </c>
      <c r="I50" s="42"/>
      <c r="J50" s="42"/>
      <c r="K50" s="42"/>
      <c r="L50" s="42"/>
      <c r="M50" s="65"/>
      <c r="N50" s="66">
        <v>58</v>
      </c>
      <c r="O50" s="78">
        <v>0.40559440559440557</v>
      </c>
    </row>
    <row r="51" spans="1:15" ht="15" x14ac:dyDescent="0.15">
      <c r="A51" s="5">
        <v>43</v>
      </c>
      <c r="B51" s="6" t="s">
        <v>100</v>
      </c>
      <c r="C51" s="7" t="s">
        <v>101</v>
      </c>
      <c r="D51" s="72">
        <v>2</v>
      </c>
      <c r="E51" s="73">
        <v>15</v>
      </c>
      <c r="F51" s="74">
        <v>14</v>
      </c>
      <c r="G51" s="72">
        <v>20</v>
      </c>
      <c r="H51" s="75">
        <v>19</v>
      </c>
      <c r="I51" s="42"/>
      <c r="J51" s="42"/>
      <c r="K51" s="42"/>
      <c r="L51" s="42"/>
      <c r="M51" s="65"/>
      <c r="N51" s="66">
        <v>83</v>
      </c>
      <c r="O51" s="78">
        <v>0.58041958041958042</v>
      </c>
    </row>
    <row r="52" spans="1:15" ht="15" x14ac:dyDescent="0.15">
      <c r="A52" s="5">
        <v>44</v>
      </c>
      <c r="B52" s="12" t="s">
        <v>102</v>
      </c>
      <c r="C52" s="13" t="s">
        <v>103</v>
      </c>
      <c r="D52" s="72">
        <v>0</v>
      </c>
      <c r="E52" s="73" t="s">
        <v>164</v>
      </c>
      <c r="F52" s="74" t="s">
        <v>164</v>
      </c>
      <c r="G52" s="72" t="s">
        <v>165</v>
      </c>
      <c r="H52" s="75" t="s">
        <v>166</v>
      </c>
      <c r="I52" s="42"/>
      <c r="J52" s="42"/>
      <c r="K52" s="42"/>
      <c r="L52" s="42"/>
      <c r="M52" s="65"/>
      <c r="N52" s="66">
        <v>66</v>
      </c>
      <c r="O52" s="78">
        <v>0.46153846153846156</v>
      </c>
    </row>
    <row r="53" spans="1:15" ht="15" x14ac:dyDescent="0.15">
      <c r="A53" s="5">
        <v>45</v>
      </c>
      <c r="B53" s="6" t="s">
        <v>104</v>
      </c>
      <c r="C53" s="7" t="s">
        <v>105</v>
      </c>
      <c r="D53" s="72">
        <v>0</v>
      </c>
      <c r="E53" s="73">
        <v>1</v>
      </c>
      <c r="F53" s="74">
        <v>4</v>
      </c>
      <c r="G53" s="72">
        <v>2</v>
      </c>
      <c r="H53" s="75">
        <v>5</v>
      </c>
      <c r="I53" s="42"/>
      <c r="J53" s="42"/>
      <c r="K53" s="42"/>
      <c r="L53" s="42"/>
      <c r="M53" s="65"/>
      <c r="N53" s="66">
        <v>46</v>
      </c>
      <c r="O53" s="78">
        <v>0.32167832167832167</v>
      </c>
    </row>
    <row r="54" spans="1:15" ht="15" x14ac:dyDescent="0.15">
      <c r="A54" s="5">
        <v>46</v>
      </c>
      <c r="B54" s="12" t="s">
        <v>106</v>
      </c>
      <c r="C54" s="13" t="s">
        <v>107</v>
      </c>
      <c r="D54" s="72" t="s">
        <v>164</v>
      </c>
      <c r="E54" s="73" t="s">
        <v>164</v>
      </c>
      <c r="F54" s="74">
        <v>6</v>
      </c>
      <c r="G54" s="72">
        <v>13</v>
      </c>
      <c r="H54" s="75">
        <v>10</v>
      </c>
      <c r="I54" s="42"/>
      <c r="J54" s="42"/>
      <c r="K54" s="42"/>
      <c r="L54" s="42"/>
      <c r="M54" s="65"/>
      <c r="N54" s="66">
        <v>73</v>
      </c>
      <c r="O54" s="78">
        <v>0.51048951048951052</v>
      </c>
    </row>
    <row r="55" spans="1:15" ht="15" x14ac:dyDescent="0.15">
      <c r="A55" s="5">
        <v>47</v>
      </c>
      <c r="B55" s="6" t="s">
        <v>108</v>
      </c>
      <c r="C55" s="7" t="s">
        <v>109</v>
      </c>
      <c r="D55" s="72" t="s">
        <v>164</v>
      </c>
      <c r="E55" s="73" t="s">
        <v>164</v>
      </c>
      <c r="F55" s="74" t="s">
        <v>164</v>
      </c>
      <c r="G55" s="72" t="s">
        <v>165</v>
      </c>
      <c r="H55" s="75" t="s">
        <v>166</v>
      </c>
      <c r="I55" s="42"/>
      <c r="J55" s="42"/>
      <c r="K55" s="42"/>
      <c r="L55" s="42"/>
      <c r="M55" s="65"/>
      <c r="N55" s="66">
        <v>19</v>
      </c>
      <c r="O55" s="78">
        <v>0.13286713286713286</v>
      </c>
    </row>
    <row r="56" spans="1:15" ht="15" x14ac:dyDescent="0.15">
      <c r="A56" s="5">
        <v>48</v>
      </c>
      <c r="B56" s="12" t="s">
        <v>110</v>
      </c>
      <c r="C56" s="13" t="s">
        <v>111</v>
      </c>
      <c r="D56" s="72" t="s">
        <v>164</v>
      </c>
      <c r="E56" s="73" t="s">
        <v>164</v>
      </c>
      <c r="F56" s="74" t="s">
        <v>164</v>
      </c>
      <c r="G56" s="72" t="s">
        <v>165</v>
      </c>
      <c r="H56" s="75" t="s">
        <v>166</v>
      </c>
      <c r="I56" s="42"/>
      <c r="J56" s="42"/>
      <c r="K56" s="42"/>
      <c r="L56" s="42"/>
      <c r="M56" s="65"/>
      <c r="N56" s="66">
        <v>9</v>
      </c>
      <c r="O56" s="78">
        <v>6.2937062937062943E-2</v>
      </c>
    </row>
    <row r="57" spans="1:15" ht="15" x14ac:dyDescent="0.15">
      <c r="A57" s="5">
        <v>49</v>
      </c>
      <c r="B57" s="6" t="s">
        <v>112</v>
      </c>
      <c r="C57" s="7" t="s">
        <v>113</v>
      </c>
      <c r="D57" s="72" t="s">
        <v>164</v>
      </c>
      <c r="E57" s="73" t="s">
        <v>164</v>
      </c>
      <c r="F57" s="74" t="s">
        <v>164</v>
      </c>
      <c r="G57" s="72" t="s">
        <v>165</v>
      </c>
      <c r="H57" s="75" t="s">
        <v>166</v>
      </c>
      <c r="I57" s="42"/>
      <c r="J57" s="42"/>
      <c r="K57" s="42"/>
      <c r="L57" s="42"/>
      <c r="M57" s="65"/>
      <c r="N57" s="66">
        <v>0</v>
      </c>
      <c r="O57" s="78">
        <v>0</v>
      </c>
    </row>
    <row r="58" spans="1:15" ht="15" x14ac:dyDescent="0.15">
      <c r="A58" s="5">
        <v>50</v>
      </c>
      <c r="B58" s="12" t="s">
        <v>114</v>
      </c>
      <c r="C58" s="13" t="s">
        <v>115</v>
      </c>
      <c r="D58" s="72" t="s">
        <v>164</v>
      </c>
      <c r="E58" s="73">
        <v>8</v>
      </c>
      <c r="F58" s="74">
        <v>0</v>
      </c>
      <c r="G58" s="72">
        <v>7</v>
      </c>
      <c r="H58" s="75">
        <v>6</v>
      </c>
      <c r="I58" s="42"/>
      <c r="J58" s="42"/>
      <c r="K58" s="42"/>
      <c r="L58" s="42"/>
      <c r="M58" s="65"/>
      <c r="N58" s="66">
        <v>29</v>
      </c>
      <c r="O58" s="78">
        <v>0.20279720279720279</v>
      </c>
    </row>
    <row r="59" spans="1:15" ht="15" x14ac:dyDescent="0.15">
      <c r="A59" s="5">
        <v>51</v>
      </c>
      <c r="B59" s="6" t="s">
        <v>116</v>
      </c>
      <c r="C59" s="7" t="s">
        <v>117</v>
      </c>
      <c r="D59" s="72">
        <v>7</v>
      </c>
      <c r="E59" s="73" t="s">
        <v>164</v>
      </c>
      <c r="F59" s="74" t="s">
        <v>164</v>
      </c>
      <c r="G59" s="72" t="s">
        <v>165</v>
      </c>
      <c r="H59" s="75" t="s">
        <v>166</v>
      </c>
      <c r="I59" s="42"/>
      <c r="J59" s="42"/>
      <c r="K59" s="42"/>
      <c r="L59" s="42"/>
      <c r="M59" s="65"/>
      <c r="N59" s="66">
        <v>18</v>
      </c>
      <c r="O59" s="78">
        <v>0.12587412587412589</v>
      </c>
    </row>
    <row r="60" spans="1:15" ht="15" x14ac:dyDescent="0.15">
      <c r="A60" s="5">
        <v>52</v>
      </c>
      <c r="B60" s="12" t="s">
        <v>118</v>
      </c>
      <c r="C60" s="13" t="s">
        <v>119</v>
      </c>
      <c r="D60" s="72" t="s">
        <v>164</v>
      </c>
      <c r="E60" s="73">
        <v>2</v>
      </c>
      <c r="F60" s="74">
        <v>14</v>
      </c>
      <c r="G60" s="72">
        <v>2</v>
      </c>
      <c r="H60" s="75">
        <v>14</v>
      </c>
      <c r="I60" s="42"/>
      <c r="J60" s="42"/>
      <c r="K60" s="42"/>
      <c r="L60" s="42"/>
      <c r="M60" s="65"/>
      <c r="N60" s="66">
        <v>75</v>
      </c>
      <c r="O60" s="78">
        <v>0.52447552447552448</v>
      </c>
    </row>
    <row r="61" spans="1:15" ht="15" x14ac:dyDescent="0.15">
      <c r="A61" s="5">
        <v>53</v>
      </c>
      <c r="B61" s="6" t="s">
        <v>120</v>
      </c>
      <c r="C61" s="7" t="s">
        <v>121</v>
      </c>
      <c r="D61" s="72" t="s">
        <v>164</v>
      </c>
      <c r="E61" s="73">
        <v>1</v>
      </c>
      <c r="F61" s="74">
        <v>6</v>
      </c>
      <c r="G61" s="72">
        <v>3</v>
      </c>
      <c r="H61" s="75">
        <v>6</v>
      </c>
      <c r="I61" s="42"/>
      <c r="J61" s="42"/>
      <c r="K61" s="42"/>
      <c r="L61" s="42"/>
      <c r="M61" s="65"/>
      <c r="N61" s="66">
        <v>57</v>
      </c>
      <c r="O61" s="78">
        <v>0.39860139860139859</v>
      </c>
    </row>
    <row r="62" spans="1:15" ht="15" x14ac:dyDescent="0.15">
      <c r="A62" s="5">
        <v>54</v>
      </c>
      <c r="B62" s="12" t="s">
        <v>122</v>
      </c>
      <c r="C62" s="13" t="s">
        <v>123</v>
      </c>
      <c r="D62" s="72" t="s">
        <v>164</v>
      </c>
      <c r="E62" s="73" t="s">
        <v>164</v>
      </c>
      <c r="F62" s="74" t="s">
        <v>164</v>
      </c>
      <c r="G62" s="72" t="s">
        <v>165</v>
      </c>
      <c r="H62" s="75" t="s">
        <v>166</v>
      </c>
      <c r="I62" s="42"/>
      <c r="J62" s="42"/>
      <c r="K62" s="42"/>
      <c r="L62" s="42"/>
      <c r="M62" s="65"/>
      <c r="N62" s="66">
        <v>15</v>
      </c>
      <c r="O62" s="78">
        <v>0.1048951048951049</v>
      </c>
    </row>
    <row r="63" spans="1:15" ht="15" x14ac:dyDescent="0.15">
      <c r="A63" s="5">
        <v>55</v>
      </c>
      <c r="B63" s="6" t="s">
        <v>124</v>
      </c>
      <c r="C63" s="7" t="s">
        <v>125</v>
      </c>
      <c r="D63" s="72" t="s">
        <v>164</v>
      </c>
      <c r="E63" s="73">
        <v>6</v>
      </c>
      <c r="F63" s="74">
        <v>3</v>
      </c>
      <c r="G63" s="72">
        <v>5</v>
      </c>
      <c r="H63" s="75">
        <v>7</v>
      </c>
      <c r="I63" s="42"/>
      <c r="J63" s="42"/>
      <c r="K63" s="42"/>
      <c r="L63" s="42"/>
      <c r="M63" s="65"/>
      <c r="N63" s="66">
        <v>78</v>
      </c>
      <c r="O63" s="78">
        <v>0.54545454545454541</v>
      </c>
    </row>
    <row r="64" spans="1:15" ht="15" x14ac:dyDescent="0.15">
      <c r="A64" s="5">
        <v>56</v>
      </c>
      <c r="B64" s="12" t="s">
        <v>126</v>
      </c>
      <c r="C64" s="13" t="s">
        <v>127</v>
      </c>
      <c r="D64" s="72" t="s">
        <v>164</v>
      </c>
      <c r="E64" s="73" t="s">
        <v>164</v>
      </c>
      <c r="F64" s="74" t="s">
        <v>164</v>
      </c>
      <c r="G64" s="72" t="s">
        <v>165</v>
      </c>
      <c r="H64" s="75" t="s">
        <v>166</v>
      </c>
      <c r="I64" s="42"/>
      <c r="J64" s="42"/>
      <c r="K64" s="42"/>
      <c r="L64" s="42"/>
      <c r="M64" s="65"/>
      <c r="N64" s="66">
        <v>43</v>
      </c>
      <c r="O64" s="78">
        <v>0.30069930069930068</v>
      </c>
    </row>
    <row r="65" spans="1:15" ht="15" x14ac:dyDescent="0.15">
      <c r="A65" s="5">
        <v>57</v>
      </c>
      <c r="B65" s="6" t="s">
        <v>128</v>
      </c>
      <c r="C65" s="7" t="s">
        <v>129</v>
      </c>
      <c r="D65" s="76">
        <v>5</v>
      </c>
      <c r="E65" s="73">
        <v>8</v>
      </c>
      <c r="F65" s="74">
        <v>5</v>
      </c>
      <c r="G65" s="76">
        <v>9</v>
      </c>
      <c r="H65" s="75">
        <v>9</v>
      </c>
      <c r="I65" s="42"/>
      <c r="J65" s="42"/>
      <c r="K65" s="42"/>
      <c r="L65" s="42"/>
      <c r="M65" s="79"/>
      <c r="N65" s="66">
        <v>73</v>
      </c>
      <c r="O65" s="78">
        <v>0.51048951048951052</v>
      </c>
    </row>
    <row r="66" spans="1:15" ht="67.5" x14ac:dyDescent="0.15">
      <c r="A66" s="109" t="s">
        <v>130</v>
      </c>
      <c r="B66" s="96"/>
      <c r="C66" s="110"/>
      <c r="D66" s="46" t="s">
        <v>131</v>
      </c>
      <c r="E66" s="47" t="s">
        <v>132</v>
      </c>
      <c r="F66" s="48" t="s">
        <v>133</v>
      </c>
      <c r="G66" s="47" t="s">
        <v>134</v>
      </c>
      <c r="H66" s="49" t="s">
        <v>135</v>
      </c>
      <c r="I66" s="50"/>
      <c r="J66" s="50"/>
      <c r="K66" s="50"/>
      <c r="L66" s="50"/>
      <c r="M66" s="49"/>
      <c r="N66" s="51"/>
      <c r="O66" s="52"/>
    </row>
    <row r="67" spans="1:15" ht="12.75" x14ac:dyDescent="0.15">
      <c r="A67" s="111"/>
      <c r="B67" s="107"/>
      <c r="C67" s="107"/>
      <c r="D67" s="92"/>
      <c r="E67" s="86"/>
      <c r="F67" s="108"/>
      <c r="G67" s="108"/>
      <c r="H67" s="108"/>
      <c r="I67" s="108"/>
      <c r="J67" s="108"/>
      <c r="K67" s="108"/>
      <c r="L67" s="108"/>
      <c r="M67" s="87"/>
      <c r="N67" s="86"/>
      <c r="O67" s="87"/>
    </row>
    <row r="68" spans="1:15" ht="12.75" x14ac:dyDescent="0.15">
      <c r="A68" s="88"/>
      <c r="B68" s="108"/>
      <c r="C68" s="108"/>
      <c r="D68" s="87"/>
      <c r="E68" s="88"/>
      <c r="F68" s="108"/>
      <c r="G68" s="108"/>
      <c r="H68" s="108"/>
      <c r="I68" s="108"/>
      <c r="J68" s="108"/>
      <c r="K68" s="108"/>
      <c r="L68" s="108"/>
      <c r="M68" s="87"/>
      <c r="N68" s="88"/>
      <c r="O68" s="87"/>
    </row>
    <row r="69" spans="1:15" ht="12.75" x14ac:dyDescent="0.15">
      <c r="A69" s="88"/>
      <c r="B69" s="108"/>
      <c r="C69" s="108"/>
      <c r="D69" s="87"/>
      <c r="E69" s="88"/>
      <c r="F69" s="108"/>
      <c r="G69" s="108"/>
      <c r="H69" s="108"/>
      <c r="I69" s="108"/>
      <c r="J69" s="108"/>
      <c r="K69" s="108"/>
      <c r="L69" s="108"/>
      <c r="M69" s="87"/>
      <c r="N69" s="88"/>
      <c r="O69" s="87"/>
    </row>
    <row r="70" spans="1:15" ht="12.75" x14ac:dyDescent="0.15">
      <c r="A70" s="89"/>
      <c r="B70" s="94"/>
      <c r="C70" s="94"/>
      <c r="D70" s="90"/>
      <c r="E70" s="89"/>
      <c r="F70" s="94"/>
      <c r="G70" s="94"/>
      <c r="H70" s="94"/>
      <c r="I70" s="94"/>
      <c r="J70" s="94"/>
      <c r="K70" s="94"/>
      <c r="L70" s="94"/>
      <c r="M70" s="90"/>
      <c r="N70" s="89"/>
      <c r="O70" s="90"/>
    </row>
    <row r="71" spans="1:15" ht="12.75" x14ac:dyDescent="0.15">
      <c r="A71" s="106" t="s">
        <v>138</v>
      </c>
      <c r="B71" s="107"/>
      <c r="C71" s="107"/>
      <c r="D71" s="92"/>
      <c r="E71" s="106" t="s">
        <v>139</v>
      </c>
      <c r="F71" s="107"/>
      <c r="G71" s="107"/>
      <c r="H71" s="107"/>
      <c r="I71" s="107"/>
      <c r="J71" s="107"/>
      <c r="K71" s="107"/>
      <c r="L71" s="107"/>
      <c r="M71" s="92"/>
      <c r="N71" s="91" t="s">
        <v>140</v>
      </c>
      <c r="O71" s="92"/>
    </row>
    <row r="72" spans="1:15" ht="12.75" x14ac:dyDescent="0.15">
      <c r="A72" s="88"/>
      <c r="B72" s="108"/>
      <c r="C72" s="108"/>
      <c r="D72" s="87"/>
      <c r="E72" s="88"/>
      <c r="F72" s="108"/>
      <c r="G72" s="108"/>
      <c r="H72" s="108"/>
      <c r="I72" s="108"/>
      <c r="J72" s="108"/>
      <c r="K72" s="108"/>
      <c r="L72" s="108"/>
      <c r="M72" s="87"/>
      <c r="N72" s="88"/>
      <c r="O72" s="87"/>
    </row>
    <row r="73" spans="1:15" ht="12.75" x14ac:dyDescent="0.15">
      <c r="A73" s="88"/>
      <c r="B73" s="108"/>
      <c r="C73" s="108"/>
      <c r="D73" s="87"/>
      <c r="E73" s="88"/>
      <c r="F73" s="108"/>
      <c r="G73" s="108"/>
      <c r="H73" s="108"/>
      <c r="I73" s="108"/>
      <c r="J73" s="108"/>
      <c r="K73" s="108"/>
      <c r="L73" s="108"/>
      <c r="M73" s="87"/>
      <c r="N73" s="88"/>
      <c r="O73" s="87"/>
    </row>
    <row r="74" spans="1:15" ht="12.75" x14ac:dyDescent="0.15">
      <c r="A74" s="89"/>
      <c r="B74" s="94"/>
      <c r="C74" s="94"/>
      <c r="D74" s="90"/>
      <c r="E74" s="89"/>
      <c r="F74" s="94"/>
      <c r="G74" s="94"/>
      <c r="H74" s="94"/>
      <c r="I74" s="94"/>
      <c r="J74" s="94"/>
      <c r="K74" s="94"/>
      <c r="L74" s="94"/>
      <c r="M74" s="90"/>
      <c r="N74" s="89"/>
      <c r="O74" s="90"/>
    </row>
  </sheetData>
  <mergeCells count="27">
    <mergeCell ref="A1:O1"/>
    <mergeCell ref="A2:O2"/>
    <mergeCell ref="A3:O3"/>
    <mergeCell ref="A4:A8"/>
    <mergeCell ref="B4:B8"/>
    <mergeCell ref="C4:C8"/>
    <mergeCell ref="O4:O6"/>
    <mergeCell ref="I8:M8"/>
    <mergeCell ref="L4:L6"/>
    <mergeCell ref="M4:M6"/>
    <mergeCell ref="N4:N6"/>
    <mergeCell ref="D4:D6"/>
    <mergeCell ref="D8:H8"/>
    <mergeCell ref="G4:G6"/>
    <mergeCell ref="H4:H6"/>
    <mergeCell ref="I4:I6"/>
    <mergeCell ref="E71:M74"/>
    <mergeCell ref="N71:O74"/>
    <mergeCell ref="E4:E6"/>
    <mergeCell ref="F4:F6"/>
    <mergeCell ref="A66:C66"/>
    <mergeCell ref="A67:D70"/>
    <mergeCell ref="E67:M70"/>
    <mergeCell ref="N67:O70"/>
    <mergeCell ref="A71:D74"/>
    <mergeCell ref="J4:J6"/>
    <mergeCell ref="K4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 2025</vt:lpstr>
      <vt:lpstr>March 2025</vt:lpstr>
      <vt:lpstr>April 2025</vt:lpstr>
      <vt:lpstr>Sheet1</vt:lpstr>
      <vt:lpstr>assessment &amp;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Windows User</cp:lastModifiedBy>
  <dcterms:created xsi:type="dcterms:W3CDTF">2025-05-15T10:05:02Z</dcterms:created>
  <dcterms:modified xsi:type="dcterms:W3CDTF">2025-05-15T04:32:31Z</dcterms:modified>
</cp:coreProperties>
</file>